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Mid-Project Release plan" sheetId="9" r:id="rId11"/>
    <sheet state="visible" name="Final Project Release plan" sheetId="10" r:id="rId12"/>
    <sheet state="visible" name="Definition of Done" sheetId="11" r:id="rId13"/>
    <sheet state="visible" name="Documentation" sheetId="12" r:id="rId14"/>
    <sheet state="visible" name="Bill of Materials" sheetId="13" r:id="rId15"/>
    <sheet state="visible" name="Planning Poker" sheetId="14" r:id="rId16"/>
  </sheets>
  <definedNames/>
  <calcPr/>
</workbook>
</file>

<file path=xl/sharedStrings.xml><?xml version="1.0" encoding="utf-8"?>
<sst xmlns="http://schemas.openxmlformats.org/spreadsheetml/2006/main" count="360" uniqueCount="227">
  <si>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</si>
  <si>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</si>
  <si>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</si>
  <si>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</si>
  <si>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</si>
  <si>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</si>
  <si>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</si>
  <si>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</si>
  <si>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</si>
  <si>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</si>
  <si>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</si>
  <si>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</si>
  <si>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</si>
  <si>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</si>
  <si>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</si>
  <si>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</si>
  <si>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</si>
  <si>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</si>
  <si>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</si>
  <si>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</si>
  <si>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</si>
  <si>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</si>
  <si>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</si>
  <si>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</si>
  <si>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</si>
  <si>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</si>
  <si>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</si>
  <si>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</si>
  <si>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</si>
  <si>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</si>
  <si>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</si>
  <si>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</si>
  <si>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</si>
  <si>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</si>
  <si>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</si>
  <si>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</si>
  <si>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</si>
  <si>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</si>
  <si>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</si>
  <si>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</si>
  <si>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</si>
  <si>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</si>
  <si>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</si>
  <si>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</si>
  <si>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</si>
  <si>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</si>
  <si>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</si>
  <si>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</si>
  <si>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</si>
  <si>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</si>
  <si>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</si>
  <si>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</si>
  <si>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</si>
  <si>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</si>
  <si>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</si>
  <si>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</si>
  <si>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</si>
  <si>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</si>
  <si>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</si>
  <si>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</si>
  <si>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</si>
  <si>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</si>
  <si>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</si>
  <si>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</si>
  <si>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</si>
  <si>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</si>
  <si>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</si>
  <si>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</si>
  <si>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</si>
  <si>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</si>
  <si>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</si>
  <si>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</si>
  <si>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</si>
  <si>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</si>
  <si>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</si>
  <si>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</si>
  <si>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</si>
  <si>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</si>
  <si>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</si>
  <si>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</si>
  <si>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</si>
  <si>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</si>
  <si>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</si>
  <si>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</si>
  <si>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</si>
  <si>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</si>
  <si>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</si>
  <si>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</si>
  <si>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</si>
  <si>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</si>
  <si>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</si>
  <si>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</si>
  <si>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</si>
  <si>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</si>
  <si>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</si>
  <si>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</si>
  <si>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</si>
  <si>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</si>
  <si>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</si>
  <si>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</si>
  <si>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</si>
  <si>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</si>
  <si>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</si>
  <si>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</si>
  <si>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</si>
  <si>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</si>
  <si>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</si>
  <si>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With the open source nature of this project, the project can be extended for other usecases besides Backup solutions. 
</t>
  </si>
  <si>
    <t>Creating an MVP for our industry partner which implements an alternative approach for managing distributed nodes. It offers an UI for editing and overview data from nodes as well as users and their permissions. The backend will be simulated can be used for</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</si>
  <si>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</si>
  <si>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</si>
  <si>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</si>
  <si>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</si>
  <si>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</si>
  <si>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</si>
  <si>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</si>
  <si>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</si>
  <si>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</si>
  <si>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</si>
  <si>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</si>
  <si>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</si>
  <si>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</si>
  <si>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</si>
  <si>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</si>
  <si>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</si>
  <si>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</si>
  <si>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</si>
  <si>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</si>
  <si>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</si>
  <si>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</si>
  <si>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</si>
  <si>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</si>
  <si>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</si>
  <si>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</si>
  <si>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</si>
  <si>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</si>
  <si>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</si>
  <si>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</si>
  <si>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</si>
  <si>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</si>
  <si>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</si>
  <si>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</si>
  <si>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</si>
  <si>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</si>
  <si>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</si>
  <si>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</si>
  <si>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</si>
  <si>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</si>
  <si>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</si>
  <si>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</si>
  <si>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</si>
  <si>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</si>
  <si>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</si>
  <si>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</si>
  <si>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</si>
  <si>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</si>
  <si>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</si>
  <si>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</si>
  <si>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</si>
  <si>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</si>
  <si>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</si>
  <si>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</si>
  <si>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</si>
  <si>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</si>
  <si>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</si>
  <si>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</si>
  <si>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</si>
  <si>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</si>
  <si>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</si>
  <si>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</si>
  <si>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</si>
  <si>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</si>
  <si>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</si>
  <si>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</si>
  <si>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</si>
  <si>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</si>
  <si>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</si>
  <si>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</si>
  <si>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</si>
  <si>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</si>
  <si>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</si>
  <si>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</si>
  <si>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</si>
  <si>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</si>
  <si>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</si>
  <si>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</si>
  <si>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</si>
  <si>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</si>
  <si>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</si>
  <si>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</si>
  <si>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</si>
  <si>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</si>
  <si>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</si>
  <si>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</si>
  <si>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</si>
  <si>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</si>
  <si>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</si>
  <si>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</si>
  <si>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</si>
  <si>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</si>
  <si>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</si>
  <si>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</si>
  <si>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</si>
  <si>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</si>
  <si>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</si>
  <si>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</si>
  <si>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</si>
  <si>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</si>
  <si>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</si>
  <si>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</si>
  <si>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</si>
  <si>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</si>
  <si>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</si>
  <si>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Derived from Githubs SBOM (direct relationship)</t>
  </si>
  <si>
    <t>Starting next week will use an SBOM Tool (Syft/trivy) and will be updated in Github Deliveries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</si>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</sst>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5" fontId="1" numFmtId="0" xfId="0" applyAlignment="1" applyFont="1">
      <alignment readingOrder="0" shrinkToFit="0" wrapText="0"/>
    </xf>
    <xf borderId="0" fillId="2" fontId="6" numFmtId="0" xfId="0" applyAlignment="1" applyFont="1">
      <alignment shrinkToFit="0" vertical="bottom" wrapText="1"/>
    </xf>
    <xf borderId="0" fillId="7" fontId="6" numFmtId="0" xfId="0" applyAlignment="1" applyFont="1">
      <alignment shrinkToFit="0" vertical="bottom"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4" fontId="2" numFmtId="0" xfId="0" applyAlignment="1" applyFont="1">
      <alignment readingOrder="0" shrinkToFit="0"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3"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B14" s="3"/>
    </row>
    <row r="15">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135</v>
      </c>
      <c r="B1" s="4" t="s">
        <v>136</v>
      </c>
    </row>
    <row r="2">
      <c r="A2" s="45">
        <v>1.0</v>
      </c>
      <c r="B2" s="2" t="s">
        <v>137</v>
      </c>
    </row>
    <row r="3">
      <c r="A3" s="45">
        <f t="shared" ref="A3:A16" si="1">A2+1</f>
        <v>2</v>
      </c>
      <c r="B3" s="2" t="s">
        <v>137</v>
      </c>
    </row>
    <row r="4">
      <c r="A4" s="45">
        <f t="shared" si="1"/>
        <v>3</v>
      </c>
      <c r="B4" s="2" t="s">
        <v>137</v>
      </c>
    </row>
    <row r="5">
      <c r="A5" s="45">
        <f t="shared" si="1"/>
        <v>4</v>
      </c>
      <c r="B5" s="9" t="s">
        <v>138</v>
      </c>
    </row>
    <row r="6">
      <c r="A6" s="45">
        <f t="shared" si="1"/>
        <v>5</v>
      </c>
      <c r="B6" s="2" t="s">
        <v>139</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135</v>
      </c>
      <c r="B1" s="4" t="s">
        <v>140</v>
      </c>
    </row>
    <row r="2">
      <c r="A2" s="45">
        <v>1.0</v>
      </c>
      <c r="B2" s="2"/>
    </row>
    <row r="3">
      <c r="A3" s="45">
        <f t="shared" ref="A3:A16" si="1">A2+1</f>
        <v>2</v>
      </c>
      <c r="B3" s="2"/>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141</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142</v>
      </c>
      <c r="B1" s="49" t="s">
        <v>143</v>
      </c>
      <c r="C1" s="50" t="s">
        <v>144</v>
      </c>
      <c r="D1" s="51" t="s">
        <v>145</v>
      </c>
      <c r="E1" s="51" t="s">
        <v>146</v>
      </c>
      <c r="F1" s="51" t="s">
        <v>147</v>
      </c>
      <c r="G1" s="51" t="s">
        <v>148</v>
      </c>
    </row>
    <row r="2">
      <c r="A2" s="52"/>
      <c r="B2" s="53"/>
      <c r="C2" s="35"/>
      <c r="D2" s="35"/>
      <c r="E2" s="35"/>
      <c r="F2" s="35"/>
      <c r="G2" s="35"/>
    </row>
    <row r="3">
      <c r="A3" s="54" t="s">
        <v>149</v>
      </c>
      <c r="B3" s="55"/>
      <c r="C3" s="56"/>
      <c r="D3" s="56"/>
      <c r="E3" s="56"/>
      <c r="F3" s="56"/>
      <c r="G3" s="56"/>
    </row>
    <row r="4">
      <c r="A4" s="52"/>
      <c r="B4" s="53"/>
      <c r="C4" s="35"/>
      <c r="D4" s="35"/>
      <c r="E4" s="35"/>
      <c r="F4" s="35"/>
      <c r="G4" s="35"/>
    </row>
    <row r="5">
      <c r="A5" s="57" t="s">
        <v>150</v>
      </c>
      <c r="B5" s="58"/>
      <c r="C5" s="36"/>
      <c r="D5" s="59">
        <f>sum(D8:D13)</f>
        <v>0</v>
      </c>
      <c r="E5" s="59">
        <f>D5</f>
        <v>0</v>
      </c>
      <c r="F5" s="36"/>
      <c r="G5" s="36"/>
    </row>
    <row r="6">
      <c r="A6" s="52"/>
      <c r="B6" s="53"/>
      <c r="C6" s="35"/>
      <c r="D6" s="35"/>
      <c r="E6" s="35"/>
      <c r="F6" s="35"/>
      <c r="G6" s="35"/>
    </row>
    <row r="7">
      <c r="A7" s="60" t="s">
        <v>151</v>
      </c>
      <c r="B7" s="61"/>
      <c r="C7" s="62"/>
      <c r="D7" s="62"/>
      <c r="E7" s="62"/>
      <c r="F7" s="62"/>
      <c r="G7" s="62"/>
    </row>
    <row r="8">
      <c r="A8" s="52"/>
      <c r="B8" s="53"/>
      <c r="C8" s="35"/>
      <c r="D8" s="35"/>
      <c r="E8" s="63" t="s">
        <v>152</v>
      </c>
      <c r="F8" s="35"/>
      <c r="G8" s="63" t="s">
        <v>153</v>
      </c>
    </row>
    <row r="9">
      <c r="A9" s="64">
        <v>1.0</v>
      </c>
      <c r="B9" s="57"/>
      <c r="C9" s="36"/>
      <c r="D9" s="59">
        <f>sum(D16:D21)</f>
        <v>0</v>
      </c>
      <c r="E9" s="59">
        <f>$D$5</f>
        <v>0</v>
      </c>
      <c r="F9" s="59">
        <f>sum(F16:F21)</f>
        <v>0</v>
      </c>
      <c r="G9" s="59">
        <f>$D$5</f>
        <v>0</v>
      </c>
    </row>
    <row r="10">
      <c r="A10" s="52">
        <f t="shared" ref="A10:A11" si="1">A9+1</f>
        <v>2</v>
      </c>
      <c r="B10" s="53"/>
      <c r="C10" s="35"/>
      <c r="D10" s="65">
        <f>sum(D22:D27)</f>
        <v>0</v>
      </c>
      <c r="E10" s="65">
        <f t="shared" ref="E10:E12" si="2">E9-D9</f>
        <v>0</v>
      </c>
      <c r="F10" s="65">
        <f>sum(F22:F27)</f>
        <v>0</v>
      </c>
      <c r="G10" s="65">
        <f t="shared" ref="G10:G12" si="3">G9-F9</f>
        <v>0</v>
      </c>
    </row>
    <row r="11">
      <c r="A11" s="64">
        <f t="shared" si="1"/>
        <v>3</v>
      </c>
      <c r="B11" s="57"/>
      <c r="C11" s="36"/>
      <c r="D11" s="59">
        <f>sum(D28:D33)</f>
        <v>0</v>
      </c>
      <c r="E11" s="59">
        <f t="shared" si="2"/>
        <v>0</v>
      </c>
      <c r="F11" s="59">
        <f>sum(F28:F33)</f>
        <v>0</v>
      </c>
      <c r="G11" s="59">
        <f t="shared" si="3"/>
        <v>0</v>
      </c>
    </row>
    <row r="12">
      <c r="A12" s="66" t="s">
        <v>154</v>
      </c>
      <c r="B12" s="67"/>
      <c r="C12" s="35"/>
      <c r="D12" s="35"/>
      <c r="E12" s="65">
        <f t="shared" si="2"/>
        <v>0</v>
      </c>
      <c r="F12" s="35"/>
      <c r="G12" s="65">
        <f t="shared" si="3"/>
        <v>0</v>
      </c>
    </row>
    <row r="13">
      <c r="A13" s="64"/>
      <c r="B13" s="57"/>
      <c r="C13" s="36"/>
      <c r="D13" s="36"/>
      <c r="E13" s="36"/>
      <c r="F13" s="36"/>
      <c r="G13" s="36"/>
    </row>
    <row r="14">
      <c r="A14" s="68" t="s">
        <v>155</v>
      </c>
      <c r="B14" s="69"/>
      <c r="C14" s="70"/>
      <c r="D14" s="70"/>
      <c r="E14" s="70"/>
      <c r="F14" s="70"/>
      <c r="G14" s="70"/>
    </row>
    <row r="15">
      <c r="A15" s="64"/>
      <c r="B15" s="57"/>
      <c r="C15" s="36"/>
      <c r="D15" s="36"/>
      <c r="E15" s="36"/>
      <c r="F15" s="36"/>
      <c r="G15" s="36"/>
    </row>
    <row r="16">
      <c r="A16" s="71">
        <f t="shared" ref="A16:B16" si="4">A9</f>
        <v>1</v>
      </c>
      <c r="B16" s="72" t="str">
        <f t="shared" si="4"/>
        <v/>
      </c>
      <c r="C16" s="35"/>
      <c r="D16" s="35"/>
      <c r="E16" s="35"/>
      <c r="F16" s="35"/>
      <c r="G16" s="35"/>
    </row>
    <row r="17">
      <c r="A17" s="64"/>
      <c r="B17" s="73"/>
      <c r="C17" s="36"/>
      <c r="D17" s="36"/>
      <c r="E17" s="36"/>
      <c r="F17" s="36"/>
      <c r="G17" s="36"/>
    </row>
    <row r="18">
      <c r="A18" s="52"/>
      <c r="B18" s="53"/>
      <c r="C18" s="67"/>
      <c r="D18" s="74"/>
      <c r="E18" s="53"/>
      <c r="F18" s="74"/>
      <c r="G18" s="53"/>
    </row>
    <row r="19">
      <c r="A19" s="64"/>
      <c r="B19" s="73"/>
      <c r="C19" s="36"/>
      <c r="D19" s="59"/>
      <c r="E19" s="36"/>
      <c r="F19" s="59"/>
      <c r="G19" s="36"/>
    </row>
    <row r="20">
      <c r="A20" s="75"/>
      <c r="B20" s="67"/>
      <c r="C20" s="67"/>
      <c r="D20" s="65"/>
      <c r="E20" s="67"/>
      <c r="F20" s="65"/>
      <c r="G20" s="67"/>
    </row>
    <row r="21">
      <c r="A21" s="64"/>
      <c r="B21" s="73"/>
      <c r="C21" s="36"/>
      <c r="D21" s="59"/>
      <c r="E21" s="36"/>
      <c r="F21" s="59"/>
      <c r="G21" s="36"/>
    </row>
    <row r="22">
      <c r="A22" s="71">
        <f t="shared" ref="A22:B22" si="5">A10</f>
        <v>2</v>
      </c>
      <c r="B22" s="72" t="str">
        <f t="shared" si="5"/>
        <v/>
      </c>
      <c r="C22" s="35"/>
      <c r="D22" s="35"/>
      <c r="E22" s="35"/>
      <c r="F22" s="35"/>
      <c r="G22" s="35"/>
    </row>
    <row r="23">
      <c r="A23" s="64"/>
      <c r="B23" s="73"/>
      <c r="C23" s="36"/>
      <c r="D23" s="36"/>
      <c r="E23" s="36"/>
      <c r="F23" s="36"/>
      <c r="G23" s="36"/>
    </row>
    <row r="24">
      <c r="A24" s="75"/>
      <c r="B24" s="67"/>
      <c r="C24" s="67"/>
      <c r="D24" s="65"/>
      <c r="E24" s="67"/>
      <c r="F24" s="65"/>
      <c r="G24" s="67"/>
    </row>
    <row r="25">
      <c r="A25" s="64"/>
      <c r="B25" s="73"/>
      <c r="C25" s="36"/>
      <c r="D25" s="59"/>
      <c r="E25" s="36"/>
      <c r="F25" s="59"/>
      <c r="G25" s="36"/>
    </row>
    <row r="26">
      <c r="A26" s="75"/>
      <c r="B26" s="67"/>
      <c r="C26" s="67"/>
      <c r="D26" s="65"/>
      <c r="E26" s="67"/>
      <c r="F26" s="65"/>
      <c r="G26" s="67"/>
    </row>
    <row r="27">
      <c r="A27" s="64"/>
      <c r="B27" s="73"/>
      <c r="C27" s="36"/>
      <c r="D27" s="59"/>
      <c r="E27" s="36"/>
      <c r="F27" s="59"/>
      <c r="G27" s="36"/>
    </row>
    <row r="28">
      <c r="A28" s="71">
        <f t="shared" ref="A28:B28" si="6">A11</f>
        <v>3</v>
      </c>
      <c r="B28" s="72" t="str">
        <f t="shared" si="6"/>
        <v/>
      </c>
      <c r="C28" s="35"/>
      <c r="D28" s="35"/>
      <c r="E28" s="35"/>
      <c r="F28" s="35"/>
      <c r="G28" s="35"/>
    </row>
    <row r="29">
      <c r="A29" s="64"/>
      <c r="B29" s="73"/>
      <c r="C29" s="36"/>
      <c r="D29" s="36"/>
      <c r="E29" s="36"/>
      <c r="F29" s="36"/>
      <c r="G29" s="36"/>
    </row>
    <row r="30">
      <c r="A30" s="75"/>
      <c r="B30" s="67"/>
      <c r="C30" s="67"/>
      <c r="D30" s="65"/>
      <c r="E30" s="67"/>
      <c r="F30" s="67"/>
      <c r="G30" s="67"/>
    </row>
    <row r="31">
      <c r="A31" s="64"/>
      <c r="B31" s="73"/>
      <c r="C31" s="36"/>
      <c r="D31" s="59"/>
      <c r="E31" s="36"/>
      <c r="F31" s="36"/>
      <c r="G31" s="36"/>
    </row>
    <row r="32">
      <c r="A32" s="75"/>
      <c r="B32" s="67"/>
      <c r="C32" s="35"/>
      <c r="D32" s="65"/>
      <c r="E32" s="67"/>
      <c r="F32" s="67"/>
      <c r="G32" s="67"/>
    </row>
    <row r="33">
      <c r="A33" s="64"/>
      <c r="B33" s="73"/>
      <c r="C33" s="76" t="s">
        <v>156</v>
      </c>
      <c r="D33" s="59"/>
      <c r="E33" s="36"/>
      <c r="F33" s="36"/>
      <c r="G33" s="36"/>
    </row>
    <row r="34">
      <c r="A34" s="75"/>
      <c r="B34" s="67"/>
      <c r="C34" s="35"/>
      <c r="D34" s="35"/>
      <c r="E34" s="35"/>
      <c r="F34" s="35"/>
      <c r="G34" s="3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142</v>
      </c>
      <c r="B1" s="77" t="s">
        <v>143</v>
      </c>
      <c r="C1" s="50" t="s">
        <v>144</v>
      </c>
      <c r="D1" s="51" t="s">
        <v>145</v>
      </c>
      <c r="E1" s="51" t="s">
        <v>146</v>
      </c>
      <c r="F1" s="51" t="s">
        <v>147</v>
      </c>
      <c r="G1" s="51" t="s">
        <v>148</v>
      </c>
    </row>
    <row r="2">
      <c r="A2" s="52"/>
      <c r="B2" s="35"/>
      <c r="C2" s="35"/>
      <c r="D2" s="35"/>
      <c r="E2" s="35"/>
      <c r="F2" s="35"/>
      <c r="G2" s="35"/>
    </row>
    <row r="3">
      <c r="A3" s="54" t="s">
        <v>149</v>
      </c>
      <c r="B3" s="56"/>
      <c r="C3" s="56"/>
      <c r="D3" s="56"/>
      <c r="E3" s="56"/>
      <c r="F3" s="56"/>
      <c r="G3" s="56"/>
    </row>
    <row r="4">
      <c r="A4" s="52"/>
      <c r="B4" s="35"/>
      <c r="C4" s="35"/>
      <c r="D4" s="35"/>
      <c r="E4" s="35"/>
      <c r="F4" s="35"/>
      <c r="G4" s="35"/>
    </row>
    <row r="5">
      <c r="A5" s="57" t="s">
        <v>150</v>
      </c>
      <c r="B5" s="36"/>
      <c r="C5" s="36"/>
      <c r="D5" s="59">
        <f>sum(D8:D13)</f>
        <v>0</v>
      </c>
      <c r="E5" s="59">
        <f>D5</f>
        <v>0</v>
      </c>
      <c r="F5" s="36"/>
      <c r="G5" s="36"/>
    </row>
    <row r="6">
      <c r="A6" s="52"/>
      <c r="B6" s="35"/>
      <c r="C6" s="35"/>
      <c r="D6" s="35"/>
      <c r="E6" s="35"/>
      <c r="F6" s="35"/>
      <c r="G6" s="35"/>
    </row>
    <row r="7">
      <c r="A7" s="60" t="s">
        <v>151</v>
      </c>
      <c r="B7" s="78"/>
      <c r="C7" s="62"/>
      <c r="D7" s="62"/>
      <c r="E7" s="62"/>
      <c r="F7" s="62"/>
      <c r="G7" s="62"/>
    </row>
    <row r="8">
      <c r="A8" s="52"/>
      <c r="B8" s="35"/>
      <c r="C8" s="35"/>
      <c r="D8" s="35"/>
      <c r="E8" s="63" t="s">
        <v>152</v>
      </c>
      <c r="F8" s="35"/>
      <c r="G8" s="63" t="s">
        <v>153</v>
      </c>
    </row>
    <row r="9">
      <c r="A9" s="64">
        <v>1.0</v>
      </c>
      <c r="B9" s="36"/>
      <c r="C9" s="36"/>
      <c r="D9" s="59">
        <f>sum(D16:D21)</f>
        <v>0</v>
      </c>
      <c r="E9" s="59">
        <f>$D$5</f>
        <v>0</v>
      </c>
      <c r="F9" s="59">
        <f>sum(F16:F21)</f>
        <v>0</v>
      </c>
      <c r="G9" s="59">
        <f>$D$5</f>
        <v>0</v>
      </c>
    </row>
    <row r="10">
      <c r="A10" s="52">
        <f t="shared" ref="A10:A11" si="1">A9+1</f>
        <v>2</v>
      </c>
      <c r="B10" s="35"/>
      <c r="C10" s="35"/>
      <c r="D10" s="65">
        <f>sum(D22:D27)</f>
        <v>0</v>
      </c>
      <c r="E10" s="65">
        <f t="shared" ref="E10:E12" si="2">E9-D9</f>
        <v>0</v>
      </c>
      <c r="F10" s="65">
        <f>sum(F22:F27)</f>
        <v>0</v>
      </c>
      <c r="G10" s="65">
        <f t="shared" ref="G10:G12" si="3">G9-F9</f>
        <v>0</v>
      </c>
    </row>
    <row r="11">
      <c r="A11" s="64">
        <f t="shared" si="1"/>
        <v>3</v>
      </c>
      <c r="B11" s="36"/>
      <c r="C11" s="36"/>
      <c r="D11" s="59">
        <f>sum(D28:D33)</f>
        <v>0</v>
      </c>
      <c r="E11" s="59">
        <f t="shared" si="2"/>
        <v>0</v>
      </c>
      <c r="F11" s="59">
        <f>sum(F28:F33)</f>
        <v>0</v>
      </c>
      <c r="G11" s="59">
        <f t="shared" si="3"/>
        <v>0</v>
      </c>
    </row>
    <row r="12">
      <c r="A12" s="66" t="s">
        <v>154</v>
      </c>
      <c r="B12" s="35"/>
      <c r="C12" s="35"/>
      <c r="D12" s="35"/>
      <c r="E12" s="65">
        <f t="shared" si="2"/>
        <v>0</v>
      </c>
      <c r="F12" s="35"/>
      <c r="G12" s="65">
        <f t="shared" si="3"/>
        <v>0</v>
      </c>
    </row>
    <row r="13">
      <c r="A13" s="64"/>
      <c r="B13" s="36"/>
      <c r="C13" s="36"/>
      <c r="D13" s="36"/>
      <c r="E13" s="36"/>
      <c r="F13" s="36"/>
      <c r="G13" s="36"/>
    </row>
    <row r="14">
      <c r="A14" s="68" t="s">
        <v>155</v>
      </c>
      <c r="B14" s="69"/>
      <c r="C14" s="70"/>
      <c r="D14" s="70"/>
      <c r="E14" s="70"/>
      <c r="F14" s="70"/>
      <c r="G14" s="70"/>
    </row>
    <row r="15">
      <c r="A15" s="64"/>
      <c r="B15" s="36"/>
      <c r="C15" s="36"/>
      <c r="D15" s="36"/>
      <c r="E15" s="36"/>
      <c r="F15" s="36"/>
      <c r="G15" s="36"/>
    </row>
    <row r="16">
      <c r="A16" s="71">
        <f>A9</f>
        <v>1</v>
      </c>
      <c r="B16" s="35"/>
      <c r="C16" s="35"/>
      <c r="D16" s="35"/>
      <c r="E16" s="35"/>
      <c r="F16" s="35"/>
      <c r="G16" s="35"/>
    </row>
    <row r="17">
      <c r="A17" s="64"/>
      <c r="B17" s="73"/>
      <c r="C17" s="36"/>
      <c r="D17" s="36"/>
      <c r="E17" s="36"/>
      <c r="F17" s="36"/>
      <c r="G17" s="36"/>
    </row>
    <row r="18">
      <c r="A18" s="52"/>
      <c r="B18" s="31"/>
      <c r="C18" s="67"/>
      <c r="D18" s="74"/>
      <c r="E18" s="53"/>
      <c r="F18" s="74"/>
      <c r="G18" s="53"/>
    </row>
    <row r="19">
      <c r="A19" s="64"/>
      <c r="B19" s="36"/>
      <c r="C19" s="36"/>
      <c r="D19" s="59"/>
      <c r="E19" s="36"/>
      <c r="F19" s="59"/>
      <c r="G19" s="36"/>
    </row>
    <row r="20">
      <c r="A20" s="75"/>
      <c r="B20" s="35"/>
      <c r="C20" s="67"/>
      <c r="D20" s="65"/>
      <c r="E20" s="67"/>
      <c r="F20" s="65"/>
      <c r="G20" s="67"/>
    </row>
    <row r="21">
      <c r="A21" s="64"/>
      <c r="B21" s="36"/>
      <c r="C21" s="36"/>
      <c r="D21" s="59"/>
      <c r="E21" s="36"/>
      <c r="F21" s="59"/>
      <c r="G21" s="36"/>
    </row>
    <row r="22">
      <c r="A22" s="71">
        <f>A10</f>
        <v>2</v>
      </c>
      <c r="B22" s="35"/>
      <c r="C22" s="35"/>
      <c r="D22" s="35"/>
      <c r="E22" s="35"/>
      <c r="F22" s="35"/>
      <c r="G22" s="35"/>
    </row>
    <row r="23">
      <c r="A23" s="64"/>
      <c r="B23" s="73"/>
      <c r="C23" s="36"/>
      <c r="D23" s="36"/>
      <c r="E23" s="36"/>
      <c r="F23" s="36"/>
      <c r="G23" s="36"/>
    </row>
    <row r="24">
      <c r="A24" s="75"/>
      <c r="B24" s="35"/>
      <c r="C24" s="67"/>
      <c r="D24" s="65"/>
      <c r="E24" s="67"/>
      <c r="F24" s="65"/>
      <c r="G24" s="67"/>
    </row>
    <row r="25">
      <c r="A25" s="64"/>
      <c r="B25" s="36"/>
      <c r="C25" s="36"/>
      <c r="D25" s="59"/>
      <c r="E25" s="36"/>
      <c r="F25" s="59"/>
      <c r="G25" s="36"/>
    </row>
    <row r="26">
      <c r="A26" s="75"/>
      <c r="B26" s="35"/>
      <c r="C26" s="67"/>
      <c r="D26" s="65"/>
      <c r="E26" s="67"/>
      <c r="F26" s="65"/>
      <c r="G26" s="67"/>
    </row>
    <row r="27">
      <c r="A27" s="64"/>
      <c r="B27" s="36"/>
      <c r="C27" s="36"/>
      <c r="D27" s="59"/>
      <c r="E27" s="36"/>
      <c r="F27" s="59"/>
      <c r="G27" s="36"/>
    </row>
    <row r="28">
      <c r="A28" s="71">
        <f>A11</f>
        <v>3</v>
      </c>
      <c r="B28" s="35"/>
      <c r="C28" s="35"/>
      <c r="D28" s="35"/>
      <c r="E28" s="35"/>
      <c r="F28" s="35"/>
      <c r="G28" s="35"/>
    </row>
    <row r="29">
      <c r="A29" s="64"/>
      <c r="B29" s="73"/>
      <c r="C29" s="36"/>
      <c r="D29" s="36"/>
      <c r="E29" s="36"/>
      <c r="F29" s="36"/>
      <c r="G29" s="36"/>
    </row>
    <row r="30">
      <c r="A30" s="75"/>
      <c r="B30" s="35"/>
      <c r="C30" s="67"/>
      <c r="D30" s="65"/>
      <c r="E30" s="67"/>
      <c r="F30" s="67"/>
      <c r="G30" s="67"/>
    </row>
    <row r="31">
      <c r="A31" s="64"/>
      <c r="B31" s="36"/>
      <c r="C31" s="36"/>
      <c r="D31" s="59"/>
      <c r="E31" s="36"/>
      <c r="F31" s="36"/>
      <c r="G31" s="36"/>
    </row>
    <row r="32">
      <c r="A32" s="75"/>
      <c r="B32" s="35"/>
      <c r="C32" s="35"/>
      <c r="D32" s="65"/>
      <c r="E32" s="67"/>
      <c r="F32" s="67"/>
      <c r="G32" s="67"/>
    </row>
    <row r="33">
      <c r="A33" s="64"/>
      <c r="B33" s="36"/>
      <c r="C33" s="76" t="s">
        <v>156</v>
      </c>
      <c r="D33" s="59"/>
      <c r="E33" s="36"/>
      <c r="F33" s="36"/>
      <c r="G33" s="36"/>
    </row>
    <row r="34">
      <c r="A34" s="75"/>
      <c r="B34" s="35"/>
      <c r="C34" s="35"/>
      <c r="D34" s="35"/>
      <c r="E34" s="35"/>
      <c r="F34" s="35"/>
      <c r="G34" s="35"/>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9" t="s">
        <v>60</v>
      </c>
      <c r="B1" s="49" t="s">
        <v>157</v>
      </c>
      <c r="C1" s="49" t="s">
        <v>158</v>
      </c>
      <c r="D1" s="80" t="s">
        <v>159</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160</v>
      </c>
      <c r="B1" s="4" t="s">
        <v>161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162</v>
      </c>
      <c r="C1" s="4" t="s">
        <v>163</v>
      </c>
      <c r="D1" s="4" t="s">
        <v>164</v>
      </c>
      <c r="E1" s="4" t="s">
        <v>165</v>
      </c>
      <c r="F1" s="4" t="s">
        <v>67</v>
      </c>
    </row>
    <row r="2">
      <c r="A2" s="2">
        <v>1.0</v>
      </c>
      <c r="B2" s="2" t="s">
        <v>166</v>
      </c>
      <c r="C2" s="2" t="s">
        <v>167</v>
      </c>
      <c r="D2" s="2" t="s">
        <v>168</v>
      </c>
      <c r="E2" s="2" t="s">
        <v>169</v>
      </c>
      <c r="F2" s="2" t="s">
        <v>170</v>
      </c>
    </row>
    <row r="3">
      <c r="A3" s="2">
        <v>2.0</v>
      </c>
      <c r="B3" s="2" t="s">
        <v>166</v>
      </c>
      <c r="C3" s="2" t="s">
        <v>171</v>
      </c>
      <c r="D3" s="2" t="s">
        <v>172</v>
      </c>
      <c r="E3" s="2" t="s">
        <v>169</v>
      </c>
      <c r="F3" s="2" t="s">
        <v>173</v>
      </c>
    </row>
    <row r="4">
      <c r="A4" s="2">
        <v>3.0</v>
      </c>
      <c r="B4" s="2" t="s">
        <v>166</v>
      </c>
      <c r="C4" s="2" t="s">
        <v>174</v>
      </c>
      <c r="D4" s="2" t="s">
        <v>175</v>
      </c>
      <c r="E4" s="2" t="s">
        <v>169</v>
      </c>
      <c r="F4" s="3"/>
    </row>
    <row r="5">
      <c r="A5" s="2">
        <v>4.0</v>
      </c>
      <c r="B5" s="2" t="s">
        <v>166</v>
      </c>
      <c r="C5" s="2" t="s">
        <v>176</v>
      </c>
      <c r="D5" s="2" t="s">
        <v>177</v>
      </c>
      <c r="E5" s="2" t="s">
        <v>178</v>
      </c>
      <c r="F5" s="3"/>
    </row>
    <row r="6">
      <c r="A6" s="2">
        <v>5.0</v>
      </c>
      <c r="B6" s="2" t="s">
        <v>166</v>
      </c>
      <c r="C6" s="2" t="s">
        <v>179</v>
      </c>
      <c r="D6" s="2" t="s">
        <v>180</v>
      </c>
      <c r="E6" s="2" t="s">
        <v>169</v>
      </c>
      <c r="F6" s="3"/>
    </row>
    <row r="7">
      <c r="A7" s="2">
        <v>6.0</v>
      </c>
      <c r="B7" s="2" t="s">
        <v>166</v>
      </c>
      <c r="C7" s="2" t="s">
        <v>181</v>
      </c>
      <c r="D7" s="2" t="s">
        <v>182</v>
      </c>
      <c r="E7" s="2" t="s">
        <v>169</v>
      </c>
      <c r="F7" s="3"/>
    </row>
    <row r="8">
      <c r="A8" s="2">
        <v>7.0</v>
      </c>
      <c r="B8" s="2" t="s">
        <v>166</v>
      </c>
      <c r="C8" s="2" t="s">
        <v>183</v>
      </c>
      <c r="D8" s="2" t="s">
        <v>184</v>
      </c>
      <c r="E8" s="2" t="s">
        <v>169</v>
      </c>
      <c r="F8" s="3"/>
    </row>
    <row r="9">
      <c r="A9" s="2">
        <v>8.0</v>
      </c>
      <c r="B9" s="2" t="s">
        <v>166</v>
      </c>
      <c r="C9" s="2" t="s">
        <v>185</v>
      </c>
      <c r="D9" s="2" t="s">
        <v>186</v>
      </c>
      <c r="E9" s="2" t="s">
        <v>169</v>
      </c>
      <c r="F9" s="3"/>
    </row>
    <row r="10">
      <c r="A10" s="2">
        <v>9.0</v>
      </c>
      <c r="B10" s="2" t="s">
        <v>166</v>
      </c>
      <c r="C10" s="2" t="s">
        <v>187</v>
      </c>
      <c r="D10" s="2" t="s">
        <v>188</v>
      </c>
      <c r="E10" s="2" t="s">
        <v>169</v>
      </c>
      <c r="F10" s="3"/>
    </row>
    <row r="11">
      <c r="A11" s="2">
        <v>10.0</v>
      </c>
      <c r="B11" s="2" t="s">
        <v>166</v>
      </c>
      <c r="C11" s="2" t="s">
        <v>189</v>
      </c>
      <c r="D11" s="2" t="s">
        <v>190</v>
      </c>
      <c r="E11" s="2" t="s">
        <v>169</v>
      </c>
      <c r="F11" s="3"/>
    </row>
    <row r="12">
      <c r="A12" s="2">
        <v>11.0</v>
      </c>
      <c r="B12" s="2" t="s">
        <v>166</v>
      </c>
      <c r="C12" s="2" t="s">
        <v>191</v>
      </c>
      <c r="D12" s="2" t="s">
        <v>192</v>
      </c>
      <c r="E12" s="2" t="s">
        <v>169</v>
      </c>
      <c r="F12" s="3"/>
    </row>
    <row r="13">
      <c r="A13" s="2">
        <v>12.0</v>
      </c>
      <c r="B13" s="2" t="s">
        <v>166</v>
      </c>
      <c r="C13" s="2" t="s">
        <v>193</v>
      </c>
      <c r="D13" s="2" t="s">
        <v>194</v>
      </c>
      <c r="E13" s="2" t="s">
        <v>169</v>
      </c>
      <c r="F13" s="3"/>
    </row>
    <row r="14">
      <c r="A14" s="2">
        <v>13.0</v>
      </c>
      <c r="B14" s="2" t="s">
        <v>166</v>
      </c>
      <c r="C14" s="2" t="s">
        <v>195</v>
      </c>
      <c r="D14" s="2" t="s">
        <v>196</v>
      </c>
      <c r="E14" s="2" t="s">
        <v>178</v>
      </c>
      <c r="F14" s="3"/>
    </row>
    <row r="15">
      <c r="A15" s="2">
        <v>14.0</v>
      </c>
      <c r="B15" s="2" t="s">
        <v>197</v>
      </c>
      <c r="C15" s="2" t="s">
        <v>198</v>
      </c>
      <c r="D15" s="2" t="s">
        <v>199</v>
      </c>
      <c r="E15" s="2" t="s">
        <v>200</v>
      </c>
      <c r="F15" s="3"/>
    </row>
    <row r="16">
      <c r="A16" s="2">
        <v>15.0</v>
      </c>
      <c r="B16" s="2" t="s">
        <v>197</v>
      </c>
      <c r="C16" s="2" t="s">
        <v>201</v>
      </c>
      <c r="D16" s="2" t="s">
        <v>202</v>
      </c>
      <c r="E16" s="2" t="s">
        <v>203</v>
      </c>
      <c r="F16" s="3"/>
    </row>
    <row r="17">
      <c r="A17" s="2">
        <v>16.0</v>
      </c>
      <c r="B17" s="2" t="s">
        <v>197</v>
      </c>
      <c r="C17" s="2" t="s">
        <v>204</v>
      </c>
      <c r="D17" s="2" t="s">
        <v>205</v>
      </c>
      <c r="E17" s="2" t="s">
        <v>206</v>
      </c>
      <c r="F17" s="3"/>
    </row>
    <row r="18">
      <c r="A18" s="2">
        <v>17.0</v>
      </c>
      <c r="B18" s="2" t="s">
        <v>197</v>
      </c>
      <c r="C18" s="2" t="s">
        <v>207</v>
      </c>
      <c r="D18" s="2" t="s">
        <v>208</v>
      </c>
      <c r="E18" s="2" t="s">
        <v>178</v>
      </c>
      <c r="F18" s="3"/>
    </row>
    <row r="19">
      <c r="A19" s="2">
        <v>18.0</v>
      </c>
      <c r="B19" s="9" t="s">
        <v>197</v>
      </c>
      <c r="C19" s="9" t="s">
        <v>209</v>
      </c>
      <c r="D19" s="9" t="s">
        <v>210</v>
      </c>
      <c r="E19" s="9" t="s">
        <v>178</v>
      </c>
      <c r="F19" s="3"/>
    </row>
    <row r="20">
      <c r="A20" s="2">
        <v>19.0</v>
      </c>
      <c r="B20" s="2" t="s">
        <v>197</v>
      </c>
      <c r="C20" s="2" t="s">
        <v>211</v>
      </c>
      <c r="D20" s="2" t="s">
        <v>212</v>
      </c>
      <c r="E20" s="2" t="s">
        <v>178</v>
      </c>
      <c r="F20" s="3"/>
    </row>
    <row r="21">
      <c r="A21" s="3"/>
      <c r="B21" s="3"/>
      <c r="C21" s="3"/>
      <c r="D21" s="3"/>
      <c r="E21" s="3"/>
      <c r="F21" s="3"/>
    </row>
    <row r="22">
      <c r="A22" s="3"/>
      <c r="B22" s="3"/>
      <c r="C22" s="3"/>
      <c r="D22" s="3"/>
      <c r="E22" s="3"/>
      <c r="F22" s="2" t="s">
        <v>213</v>
      </c>
    </row>
    <row r="23">
      <c r="A23" s="3"/>
      <c r="B23" s="3"/>
      <c r="C23" s="3"/>
      <c r="D23" s="3"/>
      <c r="E23" s="3"/>
      <c r="F23" s="2" t="s">
        <v>214</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1" t="str">
        <f>'Project Team'!A1</f>
        <v>Last Name</v>
      </c>
      <c r="B1" s="81" t="str">
        <f>'Project Team'!B1</f>
        <v>First Name</v>
      </c>
      <c r="C1" s="82" t="s">
        <v>215</v>
      </c>
      <c r="D1" s="83"/>
      <c r="E1" s="84"/>
      <c r="F1" s="85"/>
      <c r="G1" s="86"/>
      <c r="H1" s="86"/>
    </row>
    <row r="2">
      <c r="A2" s="87" t="str">
        <f>'Project Team'!A2</f>
        <v>Wysokinska</v>
      </c>
      <c r="B2" s="87" t="str">
        <f>'Project Team'!B2</f>
        <v>Xemena</v>
      </c>
      <c r="C2" s="88"/>
      <c r="D2" s="89"/>
      <c r="E2" s="90">
        <f>average(C2:C10)</f>
        <v>3</v>
      </c>
      <c r="F2" s="91" t="str">
        <f>if(stdev(C2:C6) &gt; 0,"NOK", "OK")</f>
        <v>OK</v>
      </c>
      <c r="G2" s="92"/>
      <c r="H2" s="92"/>
    </row>
    <row r="3">
      <c r="A3" s="93" t="str">
        <f>'Project Team'!A3</f>
        <v>Ostrizki</v>
      </c>
      <c r="B3" s="93" t="str">
        <f>'Project Team'!B3</f>
        <v>Jan</v>
      </c>
      <c r="C3" s="88"/>
      <c r="D3" s="94"/>
      <c r="G3" s="95"/>
      <c r="H3" s="95"/>
    </row>
    <row r="4">
      <c r="A4" s="87" t="str">
        <f>'Project Team'!A4</f>
        <v>Raju</v>
      </c>
      <c r="B4" s="87" t="str">
        <f>'Project Team'!B4</f>
        <v>Robin Jose </v>
      </c>
      <c r="C4" s="88">
        <v>3.0</v>
      </c>
      <c r="D4" s="89"/>
      <c r="G4" s="92"/>
      <c r="H4" s="92"/>
    </row>
    <row r="5">
      <c r="A5" s="93" t="str">
        <f>'Project Team'!A5</f>
        <v>Nogu</v>
      </c>
      <c r="B5" s="93" t="str">
        <f>'Project Team'!B5</f>
        <v>Ervin</v>
      </c>
      <c r="C5" s="88">
        <v>3.0</v>
      </c>
      <c r="D5" s="96"/>
      <c r="E5" s="96"/>
      <c r="F5" s="96"/>
      <c r="G5" s="95"/>
      <c r="H5" s="95"/>
    </row>
    <row r="6">
      <c r="A6" s="87" t="str">
        <f>'Project Team'!A6</f>
        <v>Krüger</v>
      </c>
      <c r="B6" s="87" t="str">
        <f>'Project Team'!B6</f>
        <v>Landolf</v>
      </c>
      <c r="C6" s="88">
        <v>3.0</v>
      </c>
      <c r="D6" s="97"/>
      <c r="E6" s="98">
        <v>0.0</v>
      </c>
      <c r="F6" s="99" t="s">
        <v>216</v>
      </c>
      <c r="G6" s="92"/>
      <c r="H6" s="92"/>
    </row>
    <row r="7">
      <c r="A7" s="93" t="str">
        <f>'Project Team'!A7</f>
        <v>Tröger</v>
      </c>
      <c r="B7" s="93" t="str">
        <f>'Project Team'!B7</f>
        <v>Nicolas</v>
      </c>
      <c r="C7" s="100">
        <v>3.0</v>
      </c>
      <c r="D7" s="96"/>
      <c r="E7" s="98">
        <v>1.0</v>
      </c>
      <c r="F7" s="99" t="s">
        <v>217</v>
      </c>
      <c r="G7" s="95"/>
      <c r="H7" s="95"/>
    </row>
    <row r="8">
      <c r="A8" s="87" t="str">
        <f t="shared" ref="A8:B8" si="1">#REF!</f>
        <v>#REF!</v>
      </c>
      <c r="B8" s="87" t="str">
        <f t="shared" si="1"/>
        <v>#REF!</v>
      </c>
      <c r="C8" s="101"/>
      <c r="D8" s="97"/>
      <c r="E8" s="98">
        <v>2.0</v>
      </c>
      <c r="F8" s="99" t="s">
        <v>218</v>
      </c>
      <c r="G8" s="92"/>
      <c r="H8" s="92"/>
    </row>
    <row r="9">
      <c r="A9" s="93" t="str">
        <f>'Project Team'!A8</f>
        <v>Killer</v>
      </c>
      <c r="B9" s="93" t="str">
        <f>'Project Team'!B8</f>
        <v>Hans</v>
      </c>
      <c r="C9" s="88"/>
      <c r="D9" s="96"/>
      <c r="E9" s="98">
        <v>3.0</v>
      </c>
      <c r="F9" s="99" t="s">
        <v>219</v>
      </c>
      <c r="G9" s="95"/>
      <c r="H9" s="95"/>
    </row>
    <row r="10">
      <c r="A10" s="87" t="str">
        <f>'Project Team'!A9</f>
        <v>Schulze</v>
      </c>
      <c r="B10" s="87" t="str">
        <f>'Project Team'!B9</f>
        <v>Levin</v>
      </c>
      <c r="C10" s="88"/>
      <c r="D10" s="97"/>
      <c r="E10" s="98">
        <v>5.0</v>
      </c>
      <c r="F10" s="99" t="s">
        <v>220</v>
      </c>
      <c r="G10" s="92"/>
      <c r="H10" s="92"/>
    </row>
    <row r="11">
      <c r="A11" s="93"/>
      <c r="B11" s="93"/>
      <c r="C11" s="102"/>
      <c r="D11" s="96"/>
      <c r="E11" s="98">
        <v>8.0</v>
      </c>
      <c r="F11" s="99" t="s">
        <v>221</v>
      </c>
      <c r="G11" s="95"/>
      <c r="H11" s="95"/>
    </row>
    <row r="12">
      <c r="A12" s="87"/>
      <c r="B12" s="87"/>
      <c r="C12" s="102"/>
      <c r="D12" s="97"/>
      <c r="E12" s="98">
        <v>13.0</v>
      </c>
      <c r="F12" s="99" t="s">
        <v>222</v>
      </c>
      <c r="G12" s="92"/>
      <c r="H12" s="92"/>
    </row>
    <row r="13">
      <c r="A13" s="93"/>
      <c r="B13" s="93"/>
      <c r="C13" s="96"/>
      <c r="D13" s="96"/>
      <c r="E13" s="96"/>
      <c r="F13" s="96"/>
      <c r="G13" s="95"/>
      <c r="H13" s="95"/>
    </row>
    <row r="14">
      <c r="A14" s="103" t="s">
        <v>223</v>
      </c>
      <c r="B14" s="104"/>
      <c r="C14" s="104"/>
      <c r="D14" s="104"/>
      <c r="E14" s="104"/>
      <c r="F14" s="104"/>
      <c r="G14" s="104"/>
      <c r="H14" s="104"/>
    </row>
    <row r="15">
      <c r="A15" s="105"/>
      <c r="B15" s="105"/>
      <c r="C15" s="105"/>
      <c r="D15" s="105"/>
      <c r="E15" s="105"/>
      <c r="F15" s="105"/>
      <c r="G15" s="105"/>
      <c r="H15" s="105"/>
    </row>
    <row r="16">
      <c r="A16" s="106" t="s">
        <v>224</v>
      </c>
      <c r="B16" s="107"/>
      <c r="C16" s="107"/>
      <c r="D16" s="107"/>
      <c r="E16" s="107"/>
      <c r="F16" s="107"/>
      <c r="G16" s="107"/>
      <c r="H16" s="107"/>
    </row>
    <row r="17">
      <c r="A17" s="108" t="s">
        <v>225</v>
      </c>
      <c r="B17" s="105"/>
      <c r="C17" s="105"/>
      <c r="D17" s="105"/>
      <c r="E17" s="105"/>
      <c r="F17" s="105"/>
      <c r="G17" s="105"/>
      <c r="H17" s="105"/>
    </row>
    <row r="18">
      <c r="A18" s="106" t="s">
        <v>226</v>
      </c>
      <c r="B18" s="107"/>
      <c r="C18" s="107"/>
      <c r="D18" s="107"/>
      <c r="E18" s="107"/>
      <c r="F18" s="107"/>
      <c r="G18" s="107"/>
      <c r="H18" s="107"/>
    </row>
    <row r="19">
      <c r="A19" s="105"/>
      <c r="B19" s="105"/>
      <c r="C19" s="105"/>
      <c r="D19" s="105"/>
      <c r="E19" s="105"/>
      <c r="F19" s="105"/>
      <c r="G19" s="105"/>
      <c r="H19" s="105"/>
    </row>
    <row r="20">
      <c r="A20" s="107"/>
      <c r="B20" s="107"/>
      <c r="C20" s="107"/>
      <c r="D20" s="107"/>
      <c r="E20" s="107"/>
      <c r="F20" s="107"/>
      <c r="G20" s="107"/>
      <c r="H20" s="10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