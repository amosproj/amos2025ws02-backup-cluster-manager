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Mid-Project)" sheetId="11" r:id="rId14"/>
    <sheet state="visible" name="Final Project Release plan" sheetId="12" r:id="rId15"/>
    <sheet state="visible" name="Burn-down Chart (Final Releas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<sst xmlns="http://schemas.openxmlformats.org/spreadsheetml/2006/main" count="556" uniqueCount="346">
  <si>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</si>
  <si>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</si>
  <si>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</si>
  <si>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</si>
  <si>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</si>
  <si>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</si>
  <si>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</si>
  <si>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</si>
  <si>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</si>
  <si>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</si>
  <si>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</si>
  <si>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</si>
  <si>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</si>
  <si>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</si>
  <si>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</si>
  <si>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</si>
  <si>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</si>
  <si>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</si>
  <si>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</si>
  <si>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</si>
  <si>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</si>
  <si>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</si>
  <si>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</si>
  <si>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</si>
  <si>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</si>
  <si>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</si>
  <si>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</si>
  <si>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</si>
  <si>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</si>
  <si>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</si>
  <si>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</si>
  <si>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</si>
  <si>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</si>
  <si>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</si>
  <si>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</si>
  <si>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</si>
  <si>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</si>
  <si>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</si>
  <si>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</si>
  <si>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</si>
  <si>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</si>
  <si>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</si>
  <si>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</si>
  <si>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</si>
  <si>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</si>
  <si>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</si>
  <si>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</si>
  <si>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</si>
  <si>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</si>
  <si>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</si>
  <si>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</si>
  <si>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</si>
  <si>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</si>
  <si>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</si>
  <si>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</si>
  <si>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</si>
  <si>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</si>
  <si>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</si>
  <si>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</si>
  <si>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</si>
  <si>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</si>
  <si>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</si>
  <si>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</si>
  <si>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</si>
  <si>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</si>
  <si>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</si>
  <si>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</si>
  <si>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</si>
  <si>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</si>
  <si>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</si>
  <si>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</si>
  <si>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</si>
  <si>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</si>
  <si>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</si>
  <si>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</si>
  <si>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</si>
  <si>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</si>
  <si>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</si>
  <si>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</si>
  <si>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</si>
  <si>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</si>
  <si>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</si>
  <si>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</si>
  <si>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</si>
  <si>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</si>
  <si>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</si>
  <si>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</si>
  <si>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</si>
  <si>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</si>
  <si>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</si>
  <si>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</si>
  <si>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</si>
  <si>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</si>
  <si>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</si>
  <si>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</si>
  <si>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</si>
  <si>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</si>
  <si>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</si>
  <si>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</si>
  <si>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</si>
  <si>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</si>
  <si>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</si>
  <si>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</si>
  <si>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</si>
  <si>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</si>
  <si>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</si>
  <si>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</si>
  <si>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</si>
  <si>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</si>
  <si>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</si>
  <si>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</si>
  <si>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</si>
  <si>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</si>
  <si>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</si>
  <si>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</si>
  <si>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</si>
  <si>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</si>
  <si>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</si>
  <si>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</si>
  <si>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</si>
  <si>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</si>
  <si>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</si>
  <si>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</si>
  <si>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</si>
  <si>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</si>
  <si>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</si>
  <si>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</si>
  <si>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</si>
  <si>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</si>
  <si>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</si>
  <si>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</si>
  <si>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</si>
  <si>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</si>
  <si>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</si>
  <si>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</si>
  <si>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</si>
  <si>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</si>
  <si>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</si>
  <si>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</si>
  <si>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</si>
  <si>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</si>
  <si>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</si>
  <si>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</si>
  <si>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</si>
  <si>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</si>
  <si>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</si>
  <si>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</si>
  <si>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</si>
  <si>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</si>
  <si>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</si>
  <si>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</si>
  <si>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</si>
  <si>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</si>
  <si>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</si>
  <si>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</si>
  <si>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</si>
  <si>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</si>
  <si>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</si>
  <si>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</si>
  <si>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</si>
  <si>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</si>
  <si>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</si>
  <si>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</si>
  <si>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</si>
  <si>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</si>
  <si>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</si>
  <si>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</si>
  <si>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</si>
  <si>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</si>
  <si>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</si>
  <si>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</si>
  <si>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</si>
  <si>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</si>
  <si>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</si>
  <si>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</si>
  <si>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</si>
  <si>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</si>
  <si>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</si>
  <si>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</si>
  <si>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</si>
  <si>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</si>
  <si>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</si>
  <si>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</si>
  <si>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</si>
  <si>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</si>
  <si>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</si>
  <si>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</si>
  <si>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</si>
  <si>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</si>
  <si>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</si>
  <si>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</si>
  <si>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</si>
  <si>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</si>
  <si>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</si>
  <si>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</si>
  <si>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</si>
  <si>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</si>
  <si>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</si>
  <si>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</si>
  <si>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</si>
  <si>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</si>
  <si>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</si>
  <si>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</si>
  <si>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</si>
  <si>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</si>
  <si>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</si>
  <si>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</si>
  <si>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</si>
  <si>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</si>
  <si>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</si>
  <si>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</si>
  <si>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</si>
  <si>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</si>
  <si>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</si>
  <si>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</si>
  <si>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</si>
  <si>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</si>
  <si>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</si>
  <si>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</si>
  <si>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</si>
  <si>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</si>
  <si>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</si>
  <si>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</si>
  <si>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</si>
  <si>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</si>
  <si>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</si>
  <si>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</si>
  <si>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</si>
  <si>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</si>
  <si>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</si>
  <si>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</si>
  <si>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</si>
  <si>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</si>
  <si>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</si>
  <si>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</si>
  <si>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</si>
  <si>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</si>
  <si>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#145</t>
  </si>
  <si>
    <t>Improve Data Caching</t>
  </si>
  <si>
    <t>#183</t>
  </si>
  <si>
    <t>BUG: Not able to re-add node after shutdown</t>
  </si>
  <si>
    <t>#184</t>
  </si>
  <si>
    <t>BUG: Shutdowned node should not be removed #184</t>
  </si>
  <si>
    <t>#185</t>
  </si>
  <si>
    <t>BUG: Automatic refresh doesn't work for nodes page</t>
  </si>
  <si>
    <t>#132</t>
  </si>
  <si>
    <t>Update Dashboard</t>
  </si>
  <si>
    <t>#163</t>
  </si>
  <si>
    <t>Expose Metrics via Actuator/Prometheus</t>
  </si>
  <si>
    <t>#189</t>
  </si>
  <si>
    <t>Stress testing</t>
  </si>
  <si>
    <t>#190</t>
  </si>
  <si>
    <t>Update UI #2</t>
  </si>
  <si>
    <t>Cluster Manager Failover</t>
  </si>
  <si>
    <t>Improve Data management (post Stress test)</t>
  </si>
  <si>
    <t>Update Documentation</t>
  </si>
  <si>
    <t>Update SBOM</t>
  </si>
  <si>
    <t>Create tunneling research article</t>
  </si>
  <si>
    <t>Comment code</t>
  </si>
  <si>
    <t>Fixing final bugs</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</si>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</sst>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4">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3" fontId="7" numFmtId="0" xfId="0" applyAlignment="1" applyFont="1">
      <alignment readingOrder="0" shrinkToFit="0" vertical="bottom" wrapText="1"/>
    </xf>
    <xf borderId="0" fillId="4" fontId="7"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3" numFmtId="4" xfId="0" applyAlignment="1" applyFont="1" applyNumberFormat="1">
      <alignment horizontal="center" shrinkToFit="0" vertical="center" wrapText="1"/>
    </xf>
    <xf borderId="0" fillId="8" fontId="13"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679285856"/>
        <c:axId val="930034531"/>
      </c:barChart>
      <c:lineChart>
        <c:varyColors val="0"/>
        <c:ser>
          <c:idx val="2"/>
          <c:order val="2"/>
          <c:tx>
            <c:strRef>
              <c:f>'Velocity Chart'!$A$28</c:f>
            </c:strRef>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679285856"/>
        <c:axId val="930034531"/>
      </c:lineChart>
      <c:catAx>
        <c:axId val="6792858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930034531"/>
      </c:catAx>
      <c:valAx>
        <c:axId val="930034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7928585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090752917"/>
        <c:axId val="1495625961"/>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090752917"/>
        <c:axId val="1495625961"/>
      </c:lineChart>
      <c:catAx>
        <c:axId val="10907529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95625961"/>
      </c:catAx>
      <c:valAx>
        <c:axId val="1495625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90752917"/>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344821262"/>
        <c:axId val="2039922480"/>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Release)'!$A$2:$A$12</c:f>
              <c:numCache/>
            </c:numRef>
          </c:val>
          <c:smooth val="0"/>
        </c:ser>
        <c:axId val="344821262"/>
        <c:axId val="2039922480"/>
      </c:lineChart>
      <c:catAx>
        <c:axId val="34482126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039922480"/>
      </c:catAx>
      <c:valAx>
        <c:axId val="2039922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4482126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github.com/amosproj/amos2025ws02-backup-cluster-manager/issues/132" TargetMode="External"/><Relationship Id="rId10" Type="http://schemas.openxmlformats.org/officeDocument/2006/relationships/hyperlink" Target="https://github.com/amosproj/amos2025ws02-backup-cluster-manager/issues/185" TargetMode="External"/><Relationship Id="rId13" Type="http://schemas.openxmlformats.org/officeDocument/2006/relationships/hyperlink" Target="https://github.com/amosproj/amos2025ws02-backup-cluster-manager/issues/189" TargetMode="External"/><Relationship Id="rId12" Type="http://schemas.openxmlformats.org/officeDocument/2006/relationships/hyperlink" Target="https://github.com/amosproj/amos2025ws02-backup-cluster-manager/issues/163" TargetMode="External"/><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9" Type="http://schemas.openxmlformats.org/officeDocument/2006/relationships/hyperlink" Target="https://github.com/amosproj/amos2025ws02-backup-cluster-manager/issues/184" TargetMode="External"/><Relationship Id="rId15" Type="http://schemas.openxmlformats.org/officeDocument/2006/relationships/drawing" Target="../drawings/drawing12.xml"/><Relationship Id="rId14" Type="http://schemas.openxmlformats.org/officeDocument/2006/relationships/hyperlink" Target="https://github.com/amosproj/amos2025ws02-backup-cluster-manager/issues/190" TargetMode="Externa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7" Type="http://schemas.openxmlformats.org/officeDocument/2006/relationships/hyperlink" Target="https://github.com/amosproj/amos2025ws02-backup-cluster-manager/issues/145" TargetMode="External"/><Relationship Id="rId8" Type="http://schemas.openxmlformats.org/officeDocument/2006/relationships/hyperlink" Target="https://github.com/amosproj/amos2025ws02-backup-cluster-manager/issues/183"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72</v>
      </c>
      <c r="D13" s="12" t="s">
        <v>72</v>
      </c>
      <c r="E13" s="12" t="s">
        <v>69</v>
      </c>
      <c r="F13" s="12" t="s">
        <v>78</v>
      </c>
      <c r="G13" s="12" t="s">
        <v>70</v>
      </c>
      <c r="H13" s="22"/>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2</v>
      </c>
      <c r="D2" s="2">
        <f>AVERAGE('Velocity Tracking'!$B$2:$B$10)</f>
        <v>14.77777778</v>
      </c>
    </row>
    <row r="3">
      <c r="A3" s="45">
        <f t="shared" ref="A3:A16" si="1">A2+1</f>
        <v>2</v>
      </c>
      <c r="B3" s="2">
        <f>'Final Project Release plan'!F10</f>
        <v>13</v>
      </c>
      <c r="C3" s="2">
        <f>'Final Project Release plan'!D10</f>
        <v>15</v>
      </c>
      <c r="D3" s="2">
        <f>AVERAGE('Velocity Tracking'!$B$2:$B$10)</f>
        <v>14.77777778</v>
      </c>
    </row>
    <row r="4">
      <c r="A4" s="45">
        <f t="shared" si="1"/>
        <v>3</v>
      </c>
      <c r="B4" s="2">
        <f>'Final Project Release plan'!F11</f>
        <v>14</v>
      </c>
      <c r="C4" s="2">
        <f>'Final Project Release plan'!D11</f>
        <v>21</v>
      </c>
      <c r="D4" s="2">
        <f>AVERAGE('Velocity Tracking'!$B$2:$B$10)</f>
        <v>14.77777778</v>
      </c>
    </row>
    <row r="5">
      <c r="A5" s="45">
        <f t="shared" si="1"/>
        <v>4</v>
      </c>
      <c r="B5" s="2">
        <f>'Final Project Release plan'!F12</f>
        <v>20</v>
      </c>
      <c r="C5" s="2">
        <f>'Final Project Release plan'!D12</f>
        <v>29</v>
      </c>
      <c r="D5" s="2">
        <f>AVERAGE('Velocity Tracking'!$B$2:$B$10)</f>
        <v>14.77777778</v>
      </c>
    </row>
    <row r="6">
      <c r="A6" s="45">
        <f t="shared" si="1"/>
        <v>5</v>
      </c>
      <c r="B6" s="2">
        <f>'Final Project Release plan'!F13</f>
        <v>20</v>
      </c>
      <c r="C6" s="2">
        <f>'Final Project Release plan'!D13</f>
        <v>18</v>
      </c>
      <c r="D6" s="2">
        <f>AVERAGE('Velocity Tracking'!$B$2:$B$10)</f>
        <v>14.77777778</v>
      </c>
    </row>
    <row r="7">
      <c r="A7" s="45">
        <f t="shared" si="1"/>
        <v>6</v>
      </c>
      <c r="B7" s="2">
        <f>'Final Project Release plan'!F14</f>
        <v>20</v>
      </c>
      <c r="C7" s="2">
        <f>'Final Project Release plan'!D14</f>
        <v>18</v>
      </c>
      <c r="D7" s="2">
        <f>AVERAGE('Velocity Tracking'!$B$2:$B$10)</f>
        <v>14.77777778</v>
      </c>
    </row>
    <row r="8">
      <c r="A8" s="45">
        <f t="shared" si="1"/>
        <v>7</v>
      </c>
      <c r="B8" s="2">
        <f>'Final Project Release plan'!F15</f>
        <v>16</v>
      </c>
      <c r="C8" s="2">
        <f>'Final Project Release plan'!D15</f>
        <v>20</v>
      </c>
      <c r="D8" s="2">
        <f>AVERAGE('Velocity Tracking'!$B$2:$B$10)</f>
        <v>14.77777778</v>
      </c>
    </row>
    <row r="9">
      <c r="A9" s="45">
        <f t="shared" si="1"/>
        <v>8</v>
      </c>
      <c r="B9" s="2">
        <f>'Final Project Release plan'!F16</f>
        <v>4</v>
      </c>
      <c r="C9" s="2">
        <f>'Final Project Release plan'!D16</f>
        <v>7</v>
      </c>
      <c r="D9" s="2">
        <f>AVERAGE('Velocity Tracking'!$B$2:$B$10)</f>
        <v>14.77777778</v>
      </c>
    </row>
    <row r="10">
      <c r="A10" s="45">
        <f t="shared" si="1"/>
        <v>9</v>
      </c>
      <c r="B10" s="2">
        <f>'Final Project Release plan'!F17</f>
        <v>26</v>
      </c>
      <c r="C10" s="2">
        <f>'Final Project Release plan'!D17</f>
        <v>20</v>
      </c>
      <c r="D10" s="2">
        <f>AVERAGE('Velocity Tracking'!$B$2:$B$10)</f>
        <v>14.77777778</v>
      </c>
    </row>
    <row r="11">
      <c r="A11" s="45">
        <f t="shared" si="1"/>
        <v>10</v>
      </c>
      <c r="B11" s="2">
        <f>'Final Project Release plan'!F18</f>
        <v>15</v>
      </c>
      <c r="C11" s="2">
        <v>15.0</v>
      </c>
      <c r="D11" s="2">
        <f>AVERAGE('Velocity Tracking'!$B$2:$B$10)</f>
        <v>14.77777778</v>
      </c>
    </row>
    <row r="12">
      <c r="A12" s="45">
        <f t="shared" si="1"/>
        <v>11</v>
      </c>
      <c r="B12" s="2" t="str">
        <f>'Final Project Release plan'!F19</f>
        <v/>
      </c>
      <c r="C12" s="2"/>
      <c r="D12" s="2"/>
    </row>
    <row r="13">
      <c r="A13" s="45">
        <f t="shared" si="1"/>
        <v>12</v>
      </c>
      <c r="B13" s="2" t="str">
        <f>'Final Project Release plan'!F20</f>
        <v/>
      </c>
      <c r="C13" s="2"/>
      <c r="D13" s="2"/>
    </row>
    <row r="14">
      <c r="A14" s="45">
        <f t="shared" si="1"/>
        <v>13</v>
      </c>
      <c r="B14" s="2" t="str">
        <f>'Final Project Release plan'!F21</f>
        <v/>
      </c>
      <c r="C14" s="2"/>
      <c r="D14" s="2"/>
    </row>
    <row r="15">
      <c r="A15" s="45">
        <f t="shared" si="1"/>
        <v>14</v>
      </c>
      <c r="B15" s="2" t="str">
        <f>'Final Project Release plan'!F22</f>
        <v/>
      </c>
      <c r="C15" s="2"/>
      <c r="D15" s="2"/>
    </row>
    <row r="16">
      <c r="A16" s="45">
        <f t="shared" si="1"/>
        <v>15</v>
      </c>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16.625</v>
      </c>
    </row>
    <row r="10">
      <c r="A10" s="9">
        <v>10.0</v>
      </c>
      <c r="B10">
        <f>AVERAGE('Velocity Tracking'!B3:B11)</f>
        <v>16.44444444</v>
      </c>
    </row>
    <row r="11">
      <c r="A11" s="9">
        <v>11.0</v>
      </c>
      <c r="B11">
        <f>AVERAGE('Velocity Tracking'!B3:B12)</f>
        <v>16.44444444</v>
      </c>
    </row>
    <row r="12">
      <c r="A12" s="9">
        <v>12.0</v>
      </c>
      <c r="B12">
        <f>AVERAGE('Velocity Tracking'!B3:B13)</f>
        <v>16.44444444</v>
      </c>
    </row>
    <row r="13">
      <c r="A13" s="9">
        <v>13.0</v>
      </c>
      <c r="B13">
        <f>AVERAGE('Velocity Tracking'!B3:B14)</f>
        <v>16.44444444</v>
      </c>
    </row>
    <row r="14">
      <c r="A14" s="9">
        <v>14.0</v>
      </c>
      <c r="B14">
        <f>AVERAGE('Velocity Tracking'!B3:B15)</f>
        <v>16.44444444</v>
      </c>
    </row>
    <row r="15">
      <c r="A15" s="9">
        <v>15.0</v>
      </c>
      <c r="B15">
        <f>AVERAGE('Velocity Tracking'!B3:B16)</f>
        <v>16.44444444</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16.625</v>
      </c>
    </row>
    <row r="7">
      <c r="A7">
        <f t="shared" si="1"/>
        <v>11.77261905</v>
      </c>
      <c r="B7">
        <f>'Velocity Chart'!B10</f>
        <v>16.44444444</v>
      </c>
    </row>
    <row r="8">
      <c r="A8">
        <f t="shared" si="1"/>
        <v>-4.671825397</v>
      </c>
      <c r="B8">
        <f>'Velocity Chart'!B11</f>
        <v>16.44444444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52.38"/>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216</v>
      </c>
      <c r="E5" s="59">
        <f>D5</f>
        <v>216</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2</v>
      </c>
      <c r="E9" s="59">
        <f>$D$5</f>
        <v>216</v>
      </c>
      <c r="F9" s="66">
        <f>SUM(F27:F29)</f>
        <v>0</v>
      </c>
      <c r="G9" s="59">
        <f>$D$5</f>
        <v>216</v>
      </c>
    </row>
    <row r="10">
      <c r="A10" s="52">
        <f t="shared" ref="A10:A22" si="1">A9+1</f>
        <v>2</v>
      </c>
      <c r="B10" s="67" t="str">
        <f>'Sprint Goals'!B3</f>
        <v>None</v>
      </c>
      <c r="D10" s="68">
        <f>SUM(D31:D37)</f>
        <v>15</v>
      </c>
      <c r="E10" s="69">
        <f t="shared" ref="E10:E18" si="2">E9-D9</f>
        <v>214</v>
      </c>
      <c r="F10" s="68">
        <f>SUM(F31:F37)</f>
        <v>13</v>
      </c>
      <c r="G10" s="69">
        <f t="shared" ref="G10:G18" si="3">G9-F9</f>
        <v>216</v>
      </c>
    </row>
    <row r="11">
      <c r="A11" s="98">
        <f t="shared" si="1"/>
        <v>3</v>
      </c>
      <c r="B11" s="65" t="str">
        <f>'Sprint Goals'!B4</f>
        <v>None</v>
      </c>
      <c r="D11" s="66">
        <f>SUM(D39:D46)</f>
        <v>21</v>
      </c>
      <c r="E11" s="59">
        <f t="shared" si="2"/>
        <v>199</v>
      </c>
      <c r="F11" s="66">
        <v>14.0</v>
      </c>
      <c r="G11" s="59">
        <f t="shared" si="3"/>
        <v>203</v>
      </c>
    </row>
    <row r="12">
      <c r="A12" s="52">
        <f t="shared" si="1"/>
        <v>4</v>
      </c>
      <c r="B12" s="67" t="str">
        <f>'Sprint Goals'!B5</f>
        <v>Working MVP with FE, CM and 2 Nodes</v>
      </c>
      <c r="D12" s="71">
        <f>SUM(D48:D58)</f>
        <v>29</v>
      </c>
      <c r="E12" s="69">
        <f t="shared" si="2"/>
        <v>178</v>
      </c>
      <c r="F12" s="71">
        <f>SUM(F48:F58)</f>
        <v>20</v>
      </c>
      <c r="G12" s="69">
        <f t="shared" si="3"/>
        <v>189</v>
      </c>
    </row>
    <row r="13">
      <c r="A13" s="98">
        <f t="shared" si="1"/>
        <v>5</v>
      </c>
      <c r="B13" s="65" t="str">
        <f>'Sprint Goals'!B6</f>
        <v>Working MVP with FE, CM and 2 Nodes</v>
      </c>
      <c r="D13" s="59">
        <f>SUM(D60:D73)</f>
        <v>18</v>
      </c>
      <c r="E13" s="59">
        <f t="shared" si="2"/>
        <v>149</v>
      </c>
      <c r="F13" s="66">
        <f>SUM(F60:F73)</f>
        <v>20</v>
      </c>
      <c r="G13" s="59">
        <f t="shared" si="3"/>
        <v>169</v>
      </c>
    </row>
    <row r="14">
      <c r="A14" s="52">
        <f t="shared" si="1"/>
        <v>6</v>
      </c>
      <c r="B14" s="67" t="str">
        <f>'Sprint Goals'!B7</f>
        <v>Mid-Project Release</v>
      </c>
      <c r="D14" s="68">
        <f>SUM(D75:D84)</f>
        <v>18</v>
      </c>
      <c r="E14" s="69">
        <f t="shared" si="2"/>
        <v>131</v>
      </c>
      <c r="F14" s="68">
        <f>SUM(F75:F84)</f>
        <v>20</v>
      </c>
      <c r="G14" s="69">
        <f t="shared" si="3"/>
        <v>149</v>
      </c>
    </row>
    <row r="15">
      <c r="A15" s="98">
        <f t="shared" si="1"/>
        <v>7</v>
      </c>
      <c r="B15" s="65" t="str">
        <f>'Sprint Goals'!B8</f>
        <v>Working Backup Schedules and Mock Tasks</v>
      </c>
      <c r="D15" s="66">
        <f>SUM(D86:D90)</f>
        <v>20</v>
      </c>
      <c r="E15" s="59">
        <f t="shared" si="2"/>
        <v>113</v>
      </c>
      <c r="F15" s="66">
        <f>SUM(F86:F90)</f>
        <v>16</v>
      </c>
      <c r="G15" s="59">
        <f t="shared" si="3"/>
        <v>129</v>
      </c>
    </row>
    <row r="16">
      <c r="A16" s="52">
        <f t="shared" si="1"/>
        <v>8</v>
      </c>
      <c r="B16" s="67" t="str">
        <f>'Sprint Goals'!B9</f>
        <v>Working Permissions / User Groups + Bulk Data</v>
      </c>
      <c r="D16" s="41">
        <f>SUM(D92:D97)</f>
        <v>7</v>
      </c>
      <c r="E16" s="69">
        <f t="shared" si="2"/>
        <v>93</v>
      </c>
      <c r="F16" s="40">
        <f>SUM(F92:F97)</f>
        <v>4</v>
      </c>
      <c r="G16" s="59">
        <f t="shared" si="3"/>
        <v>113</v>
      </c>
    </row>
    <row r="17">
      <c r="A17" s="98">
        <f t="shared" si="1"/>
        <v>9</v>
      </c>
      <c r="B17" s="99" t="str">
        <f>'Sprint Goals'!B10</f>
        <v>Advanced Cluster Management</v>
      </c>
      <c r="D17" s="100">
        <f>SUM(D99:D103)</f>
        <v>20</v>
      </c>
      <c r="E17" s="100">
        <f t="shared" si="2"/>
        <v>86</v>
      </c>
      <c r="F17" s="100">
        <f>SUM(F99:F103)</f>
        <v>26</v>
      </c>
      <c r="G17" s="59">
        <f t="shared" si="3"/>
        <v>109</v>
      </c>
    </row>
    <row r="18">
      <c r="A18" s="52">
        <f t="shared" si="1"/>
        <v>10</v>
      </c>
      <c r="B18" s="101" t="str">
        <f>'Sprint Goals'!B11</f>
        <v>Advanced Cluster Management Pt2</v>
      </c>
      <c r="D18" s="40">
        <f>SUM(D105:D107)</f>
        <v>13</v>
      </c>
      <c r="E18" s="40">
        <f t="shared" si="2"/>
        <v>66</v>
      </c>
      <c r="F18" s="40">
        <f>SUM(F105:F107)</f>
        <v>15</v>
      </c>
      <c r="G18" s="59">
        <f t="shared" si="3"/>
        <v>83</v>
      </c>
    </row>
    <row r="19">
      <c r="A19" s="98">
        <f t="shared" si="1"/>
        <v>11</v>
      </c>
      <c r="B19" s="99" t="str">
        <f>'Sprint Goals'!B12</f>
        <v>Groups/Permissions + Webflux</v>
      </c>
      <c r="D19" s="100">
        <f>SUM(D109:D112)</f>
        <v>21</v>
      </c>
      <c r="G19" s="59"/>
    </row>
    <row r="20">
      <c r="A20" s="52">
        <f t="shared" si="1"/>
        <v>12</v>
      </c>
      <c r="B20" s="101" t="str">
        <f>'Sprint Goals'!B13</f>
        <v>Polishing + Metrics</v>
      </c>
      <c r="D20" s="41">
        <f>SUM(D117:D119)</f>
        <v>19</v>
      </c>
      <c r="G20" s="59"/>
    </row>
    <row r="21">
      <c r="A21" s="98">
        <f t="shared" si="1"/>
        <v>13</v>
      </c>
      <c r="B21" s="99" t="str">
        <f>'Sprint Goals'!B14</f>
        <v>QA/Fixing</v>
      </c>
      <c r="D21" s="100">
        <f>SUM(D122)</f>
        <v>13</v>
      </c>
      <c r="G21" s="59"/>
    </row>
    <row r="22">
      <c r="A22" s="52">
        <f t="shared" si="1"/>
        <v>14</v>
      </c>
      <c r="B22" s="101" t="str">
        <f>'Sprint Goals'!B15</f>
        <v>Final Project Release</v>
      </c>
      <c r="D22" s="41">
        <v>0.0</v>
      </c>
      <c r="G22" s="59"/>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82">
        <v>1.0</v>
      </c>
      <c r="E28" s="82"/>
      <c r="F28" s="82">
        <v>0.0</v>
      </c>
      <c r="G28" s="82"/>
    </row>
    <row r="29">
      <c r="A29" s="77"/>
      <c r="B29" s="77"/>
      <c r="C29" s="77" t="s">
        <v>177</v>
      </c>
      <c r="D29" s="77">
        <v>1.0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82">
        <v>2.0</v>
      </c>
      <c r="E56" s="82"/>
      <c r="F56" s="91">
        <v>0.0</v>
      </c>
      <c r="G56" s="82"/>
    </row>
    <row r="57">
      <c r="A57" s="77"/>
      <c r="B57" s="77"/>
      <c r="C57" s="77" t="s">
        <v>200</v>
      </c>
      <c r="D57" s="77">
        <v>3.0</v>
      </c>
      <c r="E57" s="77"/>
      <c r="F57" s="90">
        <v>0.0</v>
      </c>
      <c r="G57" s="77"/>
    </row>
    <row r="58">
      <c r="A58" s="82"/>
      <c r="B58" s="82"/>
      <c r="C58" s="82" t="s">
        <v>201</v>
      </c>
      <c r="D58" s="82">
        <v>3.0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77"/>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90">
        <v>5.0</v>
      </c>
      <c r="G105" s="77"/>
    </row>
    <row r="106">
      <c r="A106" s="92"/>
      <c r="B106" s="107" t="s">
        <v>227</v>
      </c>
      <c r="C106" s="91" t="s">
        <v>228</v>
      </c>
      <c r="D106" s="91">
        <v>5.0</v>
      </c>
      <c r="E106" s="82"/>
      <c r="F106" s="91">
        <v>5.0</v>
      </c>
      <c r="G106" s="82"/>
    </row>
    <row r="107">
      <c r="A107" s="103"/>
      <c r="B107" s="106" t="s">
        <v>229</v>
      </c>
      <c r="C107" s="90" t="s">
        <v>230</v>
      </c>
      <c r="D107" s="90">
        <v>3.0</v>
      </c>
      <c r="E107" s="77"/>
      <c r="F107" s="90">
        <v>5.0</v>
      </c>
      <c r="G107" s="77"/>
    </row>
    <row r="108">
      <c r="A108" s="92">
        <v>11.0</v>
      </c>
      <c r="B108" s="93" t="str">
        <f>'Sprint Goals'!B12</f>
        <v>Groups/Permissions + Webflux</v>
      </c>
      <c r="D108" s="91"/>
      <c r="E108" s="82"/>
      <c r="F108" s="82"/>
      <c r="G108" s="82"/>
    </row>
    <row r="109">
      <c r="A109" s="103"/>
      <c r="B109" s="106" t="s">
        <v>231</v>
      </c>
      <c r="C109" s="90" t="s">
        <v>232</v>
      </c>
      <c r="D109" s="90">
        <v>5.0</v>
      </c>
    </row>
    <row r="110">
      <c r="A110" s="92"/>
      <c r="B110" s="107" t="s">
        <v>233</v>
      </c>
      <c r="C110" s="91" t="s">
        <v>234</v>
      </c>
      <c r="D110" s="91">
        <v>3.0</v>
      </c>
      <c r="E110" s="82"/>
      <c r="F110" s="82"/>
      <c r="G110" s="82"/>
    </row>
    <row r="111">
      <c r="A111" s="103"/>
      <c r="B111" s="106" t="s">
        <v>235</v>
      </c>
      <c r="C111" s="90" t="s">
        <v>236</v>
      </c>
      <c r="D111" s="90">
        <v>5.0</v>
      </c>
      <c r="E111" s="77"/>
      <c r="F111" s="77"/>
      <c r="G111" s="77"/>
    </row>
    <row r="112">
      <c r="B112" s="108" t="s">
        <v>237</v>
      </c>
      <c r="C112" s="41" t="s">
        <v>238</v>
      </c>
      <c r="D112" s="41">
        <v>8.0</v>
      </c>
    </row>
    <row r="113">
      <c r="A113" s="103"/>
      <c r="B113" s="106" t="s">
        <v>239</v>
      </c>
      <c r="C113" s="90" t="s">
        <v>240</v>
      </c>
      <c r="D113" s="90">
        <v>2.0</v>
      </c>
      <c r="E113" s="77"/>
      <c r="F113" s="77"/>
      <c r="G113" s="77"/>
    </row>
    <row r="114">
      <c r="A114" s="92"/>
      <c r="B114" s="107" t="s">
        <v>241</v>
      </c>
      <c r="C114" s="91" t="s">
        <v>242</v>
      </c>
      <c r="D114" s="91">
        <v>1.0</v>
      </c>
      <c r="E114" s="82"/>
      <c r="F114" s="82"/>
      <c r="G114" s="82"/>
    </row>
    <row r="115">
      <c r="A115" s="103"/>
      <c r="B115" s="106" t="s">
        <v>243</v>
      </c>
      <c r="C115" s="90" t="s">
        <v>244</v>
      </c>
      <c r="D115" s="90">
        <v>1.0</v>
      </c>
      <c r="E115" s="77"/>
      <c r="F115" s="77"/>
      <c r="G115" s="77"/>
    </row>
    <row r="116">
      <c r="A116" s="92">
        <v>12.0</v>
      </c>
      <c r="B116" s="93" t="str">
        <f>'Sprint Goals'!B13</f>
        <v>Polishing + Metrics</v>
      </c>
      <c r="E116" s="82"/>
      <c r="F116" s="82"/>
      <c r="G116" s="82"/>
    </row>
    <row r="117">
      <c r="A117" s="103"/>
      <c r="B117" s="106" t="s">
        <v>245</v>
      </c>
      <c r="C117" s="90" t="s">
        <v>246</v>
      </c>
      <c r="D117" s="90">
        <v>3.0</v>
      </c>
      <c r="E117" s="77"/>
      <c r="F117" s="77"/>
      <c r="G117" s="77"/>
    </row>
    <row r="118">
      <c r="A118" s="92"/>
      <c r="B118" s="107" t="s">
        <v>247</v>
      </c>
      <c r="C118" s="91" t="s">
        <v>248</v>
      </c>
      <c r="D118" s="91">
        <v>8.0</v>
      </c>
      <c r="E118" s="82"/>
      <c r="F118" s="82"/>
      <c r="G118" s="82"/>
    </row>
    <row r="119">
      <c r="A119" s="103"/>
      <c r="B119" s="106" t="s">
        <v>249</v>
      </c>
      <c r="C119" s="90" t="s">
        <v>250</v>
      </c>
      <c r="D119" s="90">
        <v>8.0</v>
      </c>
      <c r="E119" s="77"/>
      <c r="F119" s="77"/>
      <c r="G119" s="77"/>
    </row>
    <row r="120">
      <c r="A120" s="92"/>
      <c r="B120" s="107" t="s">
        <v>251</v>
      </c>
      <c r="C120" s="109" t="s">
        <v>252</v>
      </c>
      <c r="D120" s="91">
        <v>2.0</v>
      </c>
      <c r="E120" s="82"/>
      <c r="F120" s="82"/>
      <c r="G120" s="82"/>
    </row>
    <row r="121">
      <c r="A121" s="103">
        <v>13.0</v>
      </c>
      <c r="B121" s="104" t="str">
        <f>'Sprint Goals'!B14</f>
        <v>QA/Fixing</v>
      </c>
      <c r="D121" s="90"/>
      <c r="E121" s="77"/>
      <c r="F121" s="77"/>
      <c r="G121" s="77"/>
    </row>
    <row r="122">
      <c r="A122" s="92"/>
      <c r="B122" s="93"/>
      <c r="C122" s="91" t="s">
        <v>253</v>
      </c>
      <c r="D122" s="91">
        <v>13.0</v>
      </c>
      <c r="E122" s="82"/>
      <c r="F122" s="82"/>
      <c r="G122" s="82"/>
    </row>
    <row r="123">
      <c r="A123" s="103"/>
      <c r="B123" s="104"/>
      <c r="C123" s="110" t="s">
        <v>254</v>
      </c>
      <c r="D123" s="90">
        <v>8.0</v>
      </c>
      <c r="E123" s="77"/>
      <c r="F123" s="77"/>
      <c r="G123" s="77"/>
    </row>
    <row r="124">
      <c r="A124" s="92"/>
      <c r="B124" s="93"/>
      <c r="C124" s="93"/>
      <c r="D124" s="91"/>
      <c r="E124" s="82"/>
      <c r="F124" s="82"/>
      <c r="G124" s="82"/>
    </row>
    <row r="125">
      <c r="A125" s="103"/>
      <c r="B125" s="104"/>
      <c r="C125" s="104"/>
      <c r="D125" s="90"/>
      <c r="E125" s="77"/>
      <c r="F125" s="77"/>
      <c r="G125" s="77"/>
    </row>
    <row r="126">
      <c r="A126" s="92">
        <v>14.0</v>
      </c>
      <c r="B126" s="93" t="str">
        <f>'Sprint Goals'!B15</f>
        <v>Final Project Release</v>
      </c>
      <c r="D126" s="91"/>
      <c r="E126" s="82"/>
      <c r="F126" s="82"/>
      <c r="G126" s="82"/>
    </row>
    <row r="127">
      <c r="A127" s="103"/>
      <c r="B127" s="104"/>
      <c r="C127" s="90" t="s">
        <v>255</v>
      </c>
      <c r="D127" s="90">
        <v>2.0</v>
      </c>
      <c r="E127" s="77"/>
      <c r="F127" s="77"/>
      <c r="G127" s="77"/>
    </row>
    <row r="128">
      <c r="A128" s="82"/>
      <c r="B128" s="82"/>
      <c r="C128" s="91" t="s">
        <v>256</v>
      </c>
      <c r="D128" s="91">
        <v>2.0</v>
      </c>
      <c r="E128" s="82"/>
      <c r="F128" s="82"/>
      <c r="G128" s="82"/>
    </row>
    <row r="129">
      <c r="A129" s="77"/>
      <c r="B129" s="77"/>
      <c r="C129" s="90" t="s">
        <v>257</v>
      </c>
      <c r="D129" s="90">
        <v>2.0</v>
      </c>
      <c r="E129" s="77"/>
      <c r="F129" s="77"/>
      <c r="G129" s="77"/>
    </row>
    <row r="130">
      <c r="A130" s="82"/>
      <c r="B130" s="82"/>
      <c r="C130" s="91" t="s">
        <v>258</v>
      </c>
      <c r="D130" s="41">
        <v>2.0</v>
      </c>
      <c r="E130" s="82"/>
      <c r="F130" s="82"/>
      <c r="G130" s="82"/>
    </row>
    <row r="131">
      <c r="A131" s="77"/>
      <c r="B131" s="77"/>
      <c r="C131" s="90" t="s">
        <v>259</v>
      </c>
      <c r="D131" s="90">
        <v>5.0</v>
      </c>
      <c r="E131" s="77"/>
      <c r="F131" s="77"/>
      <c r="G131" s="77"/>
    </row>
    <row r="132">
      <c r="A132" s="82"/>
      <c r="B132" s="82"/>
      <c r="C132" s="91"/>
      <c r="D132" s="91"/>
      <c r="E132" s="82"/>
      <c r="F132" s="82"/>
      <c r="G132" s="82"/>
    </row>
    <row r="133">
      <c r="A133" s="77"/>
      <c r="B133" s="77"/>
      <c r="C133" s="90"/>
      <c r="D133" s="90"/>
      <c r="E133" s="77"/>
      <c r="F133" s="77"/>
      <c r="G133" s="77"/>
    </row>
    <row r="134">
      <c r="A134" s="82"/>
      <c r="B134" s="82"/>
      <c r="C134" s="91"/>
      <c r="D134" s="91"/>
      <c r="E134" s="82"/>
      <c r="F134" s="82"/>
      <c r="G134" s="82"/>
    </row>
    <row r="135">
      <c r="A135" s="77"/>
      <c r="B135" s="77"/>
      <c r="C135" s="90"/>
      <c r="D135" s="90"/>
      <c r="E135" s="77"/>
      <c r="F135" s="77"/>
      <c r="G135" s="77"/>
    </row>
    <row r="136">
      <c r="A136" s="82"/>
      <c r="B136" s="82"/>
      <c r="C136" s="91"/>
      <c r="D136" s="91"/>
      <c r="E136" s="82"/>
      <c r="F136" s="82"/>
      <c r="G136" s="82"/>
    </row>
    <row r="137">
      <c r="A137" s="77"/>
      <c r="B137" s="77"/>
      <c r="C137" s="90"/>
      <c r="D137" s="90"/>
      <c r="E137" s="77"/>
      <c r="F137" s="77"/>
      <c r="G137" s="77"/>
    </row>
    <row r="138">
      <c r="A138" s="82"/>
      <c r="B138" s="82"/>
      <c r="C138" s="91"/>
      <c r="D138" s="91"/>
      <c r="E138" s="82"/>
      <c r="F138" s="82"/>
      <c r="G138" s="82"/>
    </row>
    <row r="139">
      <c r="A139" s="77"/>
      <c r="B139" s="77"/>
      <c r="C139" s="90"/>
      <c r="D139" s="90"/>
      <c r="E139" s="77"/>
      <c r="F139" s="77"/>
      <c r="G139" s="77"/>
    </row>
    <row r="140">
      <c r="A140" s="82"/>
      <c r="B140" s="82"/>
      <c r="C140" s="91"/>
      <c r="D140" s="91"/>
      <c r="E140" s="82"/>
      <c r="F140" s="82"/>
      <c r="G140" s="82"/>
    </row>
  </sheetData>
  <mergeCells count="2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6:C116"/>
    <mergeCell ref="B121:C121"/>
    <mergeCell ref="B126:C126"/>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 r:id="rId8" ref="B113"/>
    <hyperlink r:id="rId9" ref="B114"/>
    <hyperlink r:id="rId10" ref="B115"/>
    <hyperlink r:id="rId11" ref="B117"/>
    <hyperlink r:id="rId12" ref="B118"/>
    <hyperlink r:id="rId13" ref="B119"/>
    <hyperlink r:id="rId14" ref="B120"/>
  </hyperlinks>
  <printOptions gridLines="1" horizontalCentered="1"/>
  <pageMargins bottom="0.75" footer="0.0" header="0.0" left="0.7" right="0.7" top="0.75"/>
  <pageSetup fitToHeight="0" paperSize="9" cellComments="atEnd" orientation="landscape" pageOrder="overThenDown"/>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216</v>
      </c>
      <c r="B2">
        <f>'Velocity Chart'!B5</f>
        <v>16.75</v>
      </c>
    </row>
    <row r="3">
      <c r="A3">
        <f t="shared" ref="A3:A12" si="1">A2-B2</f>
        <v>199.25</v>
      </c>
      <c r="B3">
        <f>'Velocity Chart'!B6</f>
        <v>17.4</v>
      </c>
    </row>
    <row r="4">
      <c r="A4">
        <f t="shared" si="1"/>
        <v>181.85</v>
      </c>
      <c r="B4">
        <f>'Velocity Chart'!B7</f>
        <v>17.16666667</v>
      </c>
    </row>
    <row r="5">
      <c r="A5">
        <f t="shared" si="1"/>
        <v>164.6833333</v>
      </c>
      <c r="B5">
        <f>'Velocity Chart'!B8</f>
        <v>15.28571429</v>
      </c>
    </row>
    <row r="6">
      <c r="A6">
        <f t="shared" si="1"/>
        <v>149.397619</v>
      </c>
      <c r="B6">
        <f>'Velocity Chart'!B9</f>
        <v>16.625</v>
      </c>
    </row>
    <row r="7">
      <c r="A7">
        <f t="shared" si="1"/>
        <v>132.772619</v>
      </c>
      <c r="B7">
        <f>'Velocity Chart'!B10</f>
        <v>16.44444444</v>
      </c>
    </row>
    <row r="8">
      <c r="A8">
        <f t="shared" si="1"/>
        <v>116.3281746</v>
      </c>
      <c r="B8">
        <f>'Velocity Chart'!B11</f>
        <v>16.44444444</v>
      </c>
    </row>
    <row r="9">
      <c r="A9">
        <f t="shared" si="1"/>
        <v>99.88373016</v>
      </c>
      <c r="B9">
        <f>'Velocity Chart'!B12</f>
        <v>16.44444444</v>
      </c>
    </row>
    <row r="10">
      <c r="A10">
        <f t="shared" si="1"/>
        <v>83.43928571</v>
      </c>
      <c r="B10">
        <f>'Velocity Chart'!B13</f>
        <v>16.44444444</v>
      </c>
    </row>
    <row r="11">
      <c r="A11">
        <f t="shared" si="1"/>
        <v>66.99484127</v>
      </c>
      <c r="B11">
        <f>'Velocity Chart'!B14</f>
        <v>16.44444444</v>
      </c>
    </row>
    <row r="12">
      <c r="A12">
        <f t="shared" si="1"/>
        <v>50.55039683</v>
      </c>
      <c r="B12">
        <f>'Velocity Chart'!B15</f>
        <v>16.44444444</v>
      </c>
    </row>
    <row r="13">
      <c r="B13" t="str">
        <f>'Velocity Chart'!B16</f>
        <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11" t="s">
        <v>60</v>
      </c>
      <c r="B1" s="49" t="s">
        <v>260</v>
      </c>
      <c r="C1" s="49" t="s">
        <v>261</v>
      </c>
      <c r="D1" s="112" t="s">
        <v>262</v>
      </c>
    </row>
    <row r="2">
      <c r="A2" s="3"/>
      <c r="B2" s="2" t="s">
        <v>263</v>
      </c>
      <c r="C2" s="2" t="s">
        <v>264</v>
      </c>
      <c r="D2" s="2" t="s">
        <v>265</v>
      </c>
    </row>
    <row r="3">
      <c r="A3" s="3"/>
      <c r="B3" s="2" t="s">
        <v>266</v>
      </c>
      <c r="C3" s="2" t="s">
        <v>267</v>
      </c>
      <c r="D3" s="2" t="s">
        <v>268</v>
      </c>
    </row>
    <row r="4">
      <c r="A4" s="3"/>
      <c r="B4" s="2" t="s">
        <v>269</v>
      </c>
      <c r="C4" s="2" t="s">
        <v>270</v>
      </c>
      <c r="D4" s="2" t="s">
        <v>271</v>
      </c>
    </row>
    <row r="5">
      <c r="A5" s="3"/>
      <c r="B5" s="2" t="s">
        <v>272</v>
      </c>
      <c r="C5" s="2" t="s">
        <v>273</v>
      </c>
      <c r="D5" s="2" t="s">
        <v>274</v>
      </c>
    </row>
    <row r="6">
      <c r="A6" s="3"/>
      <c r="B6" s="2" t="s">
        <v>275</v>
      </c>
      <c r="C6" s="2" t="s">
        <v>276</v>
      </c>
      <c r="D6" s="2" t="s">
        <v>277</v>
      </c>
    </row>
    <row r="7">
      <c r="A7" s="3"/>
      <c r="B7" s="2" t="s">
        <v>278</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279</v>
      </c>
      <c r="B1" s="4" t="s">
        <v>280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281</v>
      </c>
      <c r="C1" s="4" t="s">
        <v>282</v>
      </c>
      <c r="D1" s="4" t="s">
        <v>283</v>
      </c>
      <c r="E1" s="4" t="s">
        <v>284</v>
      </c>
      <c r="F1" s="4" t="s">
        <v>67</v>
      </c>
    </row>
    <row r="2">
      <c r="A2" s="2">
        <v>1.0</v>
      </c>
      <c r="B2" s="2" t="s">
        <v>285</v>
      </c>
      <c r="C2" s="2" t="s">
        <v>286</v>
      </c>
      <c r="D2" s="2" t="s">
        <v>287</v>
      </c>
      <c r="E2" s="2" t="s">
        <v>288</v>
      </c>
      <c r="F2" s="2" t="s">
        <v>289</v>
      </c>
    </row>
    <row r="3">
      <c r="A3" s="2">
        <v>2.0</v>
      </c>
      <c r="B3" s="2" t="s">
        <v>285</v>
      </c>
      <c r="C3" s="2" t="s">
        <v>290</v>
      </c>
      <c r="D3" s="2" t="s">
        <v>291</v>
      </c>
      <c r="E3" s="2" t="s">
        <v>288</v>
      </c>
      <c r="F3" s="2" t="s">
        <v>292</v>
      </c>
    </row>
    <row r="4">
      <c r="A4" s="2">
        <v>3.0</v>
      </c>
      <c r="B4" s="2" t="s">
        <v>285</v>
      </c>
      <c r="C4" s="2" t="s">
        <v>293</v>
      </c>
      <c r="D4" s="2" t="s">
        <v>294</v>
      </c>
      <c r="E4" s="2" t="s">
        <v>288</v>
      </c>
      <c r="F4" s="3"/>
    </row>
    <row r="5">
      <c r="A5" s="2">
        <v>4.0</v>
      </c>
      <c r="B5" s="2" t="s">
        <v>285</v>
      </c>
      <c r="C5" s="2" t="s">
        <v>295</v>
      </c>
      <c r="D5" s="2" t="s">
        <v>296</v>
      </c>
      <c r="E5" s="2" t="s">
        <v>297</v>
      </c>
      <c r="F5" s="3"/>
    </row>
    <row r="6">
      <c r="A6" s="2">
        <v>5.0</v>
      </c>
      <c r="B6" s="2" t="s">
        <v>285</v>
      </c>
      <c r="C6" s="2" t="s">
        <v>298</v>
      </c>
      <c r="D6" s="2" t="s">
        <v>299</v>
      </c>
      <c r="E6" s="2" t="s">
        <v>288</v>
      </c>
      <c r="F6" s="3"/>
    </row>
    <row r="7">
      <c r="A7" s="2">
        <v>6.0</v>
      </c>
      <c r="B7" s="2" t="s">
        <v>285</v>
      </c>
      <c r="C7" s="2" t="s">
        <v>300</v>
      </c>
      <c r="D7" s="2" t="s">
        <v>301</v>
      </c>
      <c r="E7" s="2" t="s">
        <v>288</v>
      </c>
      <c r="F7" s="3"/>
    </row>
    <row r="8">
      <c r="A8" s="2">
        <v>7.0</v>
      </c>
      <c r="B8" s="2" t="s">
        <v>285</v>
      </c>
      <c r="C8" s="2" t="s">
        <v>302</v>
      </c>
      <c r="D8" s="2" t="s">
        <v>303</v>
      </c>
      <c r="E8" s="2" t="s">
        <v>288</v>
      </c>
      <c r="F8" s="3"/>
    </row>
    <row r="9">
      <c r="A9" s="2">
        <v>8.0</v>
      </c>
      <c r="B9" s="2" t="s">
        <v>285</v>
      </c>
      <c r="C9" s="2" t="s">
        <v>304</v>
      </c>
      <c r="D9" s="2" t="s">
        <v>305</v>
      </c>
      <c r="E9" s="2" t="s">
        <v>288</v>
      </c>
      <c r="F9" s="3"/>
    </row>
    <row r="10">
      <c r="A10" s="2">
        <v>9.0</v>
      </c>
      <c r="B10" s="2" t="s">
        <v>285</v>
      </c>
      <c r="C10" s="2" t="s">
        <v>306</v>
      </c>
      <c r="D10" s="2" t="s">
        <v>307</v>
      </c>
      <c r="E10" s="2" t="s">
        <v>288</v>
      </c>
      <c r="F10" s="3"/>
    </row>
    <row r="11">
      <c r="A11" s="2">
        <v>10.0</v>
      </c>
      <c r="B11" s="2" t="s">
        <v>285</v>
      </c>
      <c r="C11" s="2" t="s">
        <v>308</v>
      </c>
      <c r="D11" s="2" t="s">
        <v>309</v>
      </c>
      <c r="E11" s="2" t="s">
        <v>288</v>
      </c>
      <c r="F11" s="3"/>
    </row>
    <row r="12">
      <c r="A12" s="2">
        <v>11.0</v>
      </c>
      <c r="B12" s="2" t="s">
        <v>285</v>
      </c>
      <c r="C12" s="2" t="s">
        <v>310</v>
      </c>
      <c r="D12" s="2" t="s">
        <v>311</v>
      </c>
      <c r="E12" s="2" t="s">
        <v>288</v>
      </c>
      <c r="F12" s="3"/>
    </row>
    <row r="13">
      <c r="A13" s="2">
        <v>12.0</v>
      </c>
      <c r="B13" s="2" t="s">
        <v>285</v>
      </c>
      <c r="C13" s="2" t="s">
        <v>312</v>
      </c>
      <c r="D13" s="2" t="s">
        <v>313</v>
      </c>
      <c r="E13" s="2" t="s">
        <v>288</v>
      </c>
      <c r="F13" s="3"/>
    </row>
    <row r="14">
      <c r="A14" s="2">
        <v>13.0</v>
      </c>
      <c r="B14" s="2" t="s">
        <v>285</v>
      </c>
      <c r="C14" s="2" t="s">
        <v>314</v>
      </c>
      <c r="D14" s="2" t="s">
        <v>315</v>
      </c>
      <c r="E14" s="2" t="s">
        <v>297</v>
      </c>
      <c r="F14" s="3"/>
    </row>
    <row r="15">
      <c r="A15" s="2">
        <v>14.0</v>
      </c>
      <c r="B15" s="2" t="s">
        <v>316</v>
      </c>
      <c r="C15" s="2" t="s">
        <v>317</v>
      </c>
      <c r="D15" s="2" t="s">
        <v>318</v>
      </c>
      <c r="E15" s="2" t="s">
        <v>319</v>
      </c>
      <c r="F15" s="3"/>
    </row>
    <row r="16">
      <c r="A16" s="2">
        <v>15.0</v>
      </c>
      <c r="B16" s="2" t="s">
        <v>316</v>
      </c>
      <c r="C16" s="2" t="s">
        <v>320</v>
      </c>
      <c r="D16" s="2" t="s">
        <v>321</v>
      </c>
      <c r="E16" s="2" t="s">
        <v>322</v>
      </c>
      <c r="F16" s="3"/>
    </row>
    <row r="17">
      <c r="A17" s="2">
        <v>16.0</v>
      </c>
      <c r="B17" s="2" t="s">
        <v>316</v>
      </c>
      <c r="C17" s="2" t="s">
        <v>323</v>
      </c>
      <c r="D17" s="2" t="s">
        <v>324</v>
      </c>
      <c r="E17" s="2" t="s">
        <v>325</v>
      </c>
      <c r="F17" s="3"/>
    </row>
    <row r="18">
      <c r="A18" s="2">
        <v>17.0</v>
      </c>
      <c r="B18" s="2" t="s">
        <v>316</v>
      </c>
      <c r="C18" s="2" t="s">
        <v>326</v>
      </c>
      <c r="D18" s="2" t="s">
        <v>327</v>
      </c>
      <c r="E18" s="2" t="s">
        <v>297</v>
      </c>
      <c r="F18" s="3"/>
    </row>
    <row r="19">
      <c r="A19" s="2">
        <v>18.0</v>
      </c>
      <c r="B19" s="9" t="s">
        <v>316</v>
      </c>
      <c r="C19" s="9" t="s">
        <v>328</v>
      </c>
      <c r="D19" s="9" t="s">
        <v>329</v>
      </c>
      <c r="E19" s="9" t="s">
        <v>297</v>
      </c>
      <c r="F19" s="3"/>
    </row>
    <row r="20">
      <c r="A20" s="2">
        <v>19.0</v>
      </c>
      <c r="B20" s="2" t="s">
        <v>316</v>
      </c>
      <c r="C20" s="2" t="s">
        <v>330</v>
      </c>
      <c r="D20" s="2" t="s">
        <v>331</v>
      </c>
      <c r="E20" s="2" t="s">
        <v>297</v>
      </c>
      <c r="F20" s="3"/>
    </row>
    <row r="21">
      <c r="A21" s="2">
        <v>20.0</v>
      </c>
      <c r="B21" s="2" t="s">
        <v>316</v>
      </c>
      <c r="C21" s="2" t="s">
        <v>332</v>
      </c>
      <c r="D21" s="2" t="s">
        <v>318</v>
      </c>
      <c r="E21" s="2" t="s">
        <v>319</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3" t="str">
        <f>'Project Team'!A1</f>
        <v>Last Name</v>
      </c>
      <c r="B1" s="113" t="str">
        <f>'Project Team'!B1</f>
        <v>First Name</v>
      </c>
      <c r="C1" s="114" t="s">
        <v>333</v>
      </c>
      <c r="D1" s="115"/>
      <c r="E1" s="116"/>
      <c r="F1" s="117"/>
      <c r="G1" s="118"/>
      <c r="H1" s="118"/>
    </row>
    <row r="2">
      <c r="A2" s="119" t="str">
        <f>'Project Team'!A2</f>
        <v>Wysokinska</v>
      </c>
      <c r="B2" s="119" t="str">
        <f>'Project Team'!B2</f>
        <v>Xemena</v>
      </c>
      <c r="C2" s="120"/>
      <c r="D2" s="121"/>
      <c r="E2" s="122">
        <f>average(C2:C10)</f>
        <v>4.6</v>
      </c>
      <c r="F2" s="123" t="str">
        <f>if(stdev(C2:C5) &gt; 0,"NOK", "OK")</f>
        <v>OK</v>
      </c>
      <c r="G2" s="124"/>
      <c r="H2" s="124"/>
    </row>
    <row r="3">
      <c r="A3" s="125" t="str">
        <f>'Project Team'!A3</f>
        <v>Ostrizki</v>
      </c>
      <c r="B3" s="125" t="str">
        <f>'Project Team'!B3</f>
        <v>Jan</v>
      </c>
      <c r="C3" s="120"/>
      <c r="D3" s="126"/>
      <c r="G3" s="127"/>
      <c r="H3" s="127"/>
    </row>
    <row r="4">
      <c r="A4" s="119" t="str">
        <f>'Project Team'!A4</f>
        <v>Raju</v>
      </c>
      <c r="B4" s="119" t="str">
        <f>'Project Team'!B4</f>
        <v>Robin Jose </v>
      </c>
      <c r="C4" s="120">
        <v>5.0</v>
      </c>
      <c r="D4" s="128" t="s">
        <v>334</v>
      </c>
      <c r="G4" s="124"/>
      <c r="H4" s="124"/>
    </row>
    <row r="5">
      <c r="A5" s="125" t="str">
        <f>'Project Team'!A5</f>
        <v>Nogu</v>
      </c>
      <c r="B5" s="125" t="str">
        <f>'Project Team'!B5</f>
        <v>Ervin</v>
      </c>
      <c r="C5" s="120">
        <v>5.0</v>
      </c>
      <c r="D5" s="129"/>
      <c r="E5" s="129"/>
      <c r="F5" s="129"/>
      <c r="G5" s="127"/>
      <c r="H5" s="127"/>
    </row>
    <row r="6">
      <c r="A6" s="119" t="str">
        <f>'Project Team'!A6</f>
        <v>Krüger</v>
      </c>
      <c r="B6" s="119" t="str">
        <f>'Project Team'!B6</f>
        <v>Landolf</v>
      </c>
      <c r="C6" s="130">
        <v>5.0</v>
      </c>
      <c r="D6" s="131"/>
      <c r="E6" s="132">
        <v>0.0</v>
      </c>
      <c r="F6" s="133" t="s">
        <v>335</v>
      </c>
      <c r="G6" s="124"/>
      <c r="H6" s="124"/>
    </row>
    <row r="7">
      <c r="A7" s="125" t="str">
        <f>'Project Team'!A7</f>
        <v>Tröger</v>
      </c>
      <c r="B7" s="125" t="str">
        <f>'Project Team'!B7</f>
        <v>Nicolas</v>
      </c>
      <c r="C7" s="102">
        <v>3.0</v>
      </c>
      <c r="D7" s="129"/>
      <c r="E7" s="132">
        <v>1.0</v>
      </c>
      <c r="F7" s="133" t="s">
        <v>336</v>
      </c>
      <c r="G7" s="127"/>
      <c r="H7" s="127"/>
    </row>
    <row r="8">
      <c r="A8" s="119" t="str">
        <f t="shared" ref="A8:B8" si="1">#REF!</f>
        <v>#REF!</v>
      </c>
      <c r="B8" s="119" t="str">
        <f t="shared" si="1"/>
        <v>#REF!</v>
      </c>
      <c r="C8" s="134"/>
      <c r="D8" s="131"/>
      <c r="E8" s="132">
        <v>2.0</v>
      </c>
      <c r="F8" s="133" t="s">
        <v>337</v>
      </c>
      <c r="G8" s="124"/>
      <c r="H8" s="124"/>
    </row>
    <row r="9">
      <c r="A9" s="125" t="str">
        <f>'Project Team'!A8</f>
        <v>Killer</v>
      </c>
      <c r="B9" s="125" t="str">
        <f>'Project Team'!B8</f>
        <v>Hans</v>
      </c>
      <c r="C9" s="120">
        <v>5.0</v>
      </c>
      <c r="D9" s="129"/>
      <c r="E9" s="132">
        <v>3.0</v>
      </c>
      <c r="F9" s="133" t="s">
        <v>338</v>
      </c>
      <c r="G9" s="127"/>
      <c r="H9" s="127"/>
    </row>
    <row r="10">
      <c r="A10" s="119" t="str">
        <f>'Project Team'!A9</f>
        <v>Schulze</v>
      </c>
      <c r="B10" s="119" t="str">
        <f>'Project Team'!B9</f>
        <v>Levin</v>
      </c>
      <c r="C10" s="120"/>
      <c r="D10" s="131"/>
      <c r="E10" s="132">
        <v>5.0</v>
      </c>
      <c r="F10" s="133" t="s">
        <v>339</v>
      </c>
      <c r="G10" s="124"/>
      <c r="H10" s="124"/>
    </row>
    <row r="11">
      <c r="A11" s="125"/>
      <c r="B11" s="125"/>
      <c r="C11" s="135"/>
      <c r="D11" s="129"/>
      <c r="E11" s="132">
        <v>8.0</v>
      </c>
      <c r="F11" s="133" t="s">
        <v>340</v>
      </c>
      <c r="G11" s="127"/>
      <c r="H11" s="127"/>
    </row>
    <row r="12">
      <c r="A12" s="119"/>
      <c r="B12" s="119"/>
      <c r="C12" s="135"/>
      <c r="D12" s="131"/>
      <c r="E12" s="132">
        <v>13.0</v>
      </c>
      <c r="F12" s="133" t="s">
        <v>341</v>
      </c>
      <c r="G12" s="124"/>
      <c r="H12" s="124"/>
    </row>
    <row r="13">
      <c r="A13" s="125"/>
      <c r="B13" s="125"/>
      <c r="C13" s="129"/>
      <c r="D13" s="129"/>
      <c r="E13" s="129"/>
      <c r="F13" s="129"/>
      <c r="G13" s="127"/>
      <c r="H13" s="127"/>
    </row>
    <row r="14">
      <c r="A14" s="136" t="s">
        <v>342</v>
      </c>
      <c r="B14" s="137"/>
      <c r="C14" s="137"/>
      <c r="D14" s="137"/>
      <c r="E14" s="137"/>
      <c r="F14" s="137"/>
      <c r="G14" s="137"/>
      <c r="H14" s="137"/>
    </row>
    <row r="15">
      <c r="A15" s="58"/>
      <c r="B15" s="58"/>
      <c r="C15" s="58"/>
      <c r="D15" s="58"/>
      <c r="E15" s="58"/>
      <c r="F15" s="58"/>
      <c r="G15" s="58"/>
      <c r="H15" s="58"/>
    </row>
    <row r="16">
      <c r="A16" s="138" t="s">
        <v>343</v>
      </c>
      <c r="B16" s="139"/>
      <c r="C16" s="139"/>
      <c r="D16" s="139"/>
      <c r="E16" s="139"/>
      <c r="F16" s="139"/>
      <c r="G16" s="139"/>
      <c r="H16" s="139"/>
    </row>
    <row r="17">
      <c r="A17" s="140" t="s">
        <v>344</v>
      </c>
      <c r="B17" s="58"/>
      <c r="C17" s="58"/>
      <c r="D17" s="58"/>
      <c r="E17" s="58"/>
      <c r="F17" s="58"/>
      <c r="G17" s="58"/>
      <c r="H17" s="58"/>
    </row>
    <row r="18">
      <c r="A18" s="138" t="s">
        <v>345</v>
      </c>
      <c r="B18" s="139"/>
      <c r="C18" s="139"/>
      <c r="D18" s="139"/>
      <c r="E18" s="139"/>
      <c r="F18" s="139"/>
      <c r="G18" s="139"/>
      <c r="H18" s="139"/>
    </row>
    <row r="19">
      <c r="A19" s="58"/>
      <c r="B19" s="58"/>
      <c r="C19" s="58"/>
      <c r="D19" s="58"/>
      <c r="E19" s="58"/>
      <c r="F19" s="58"/>
      <c r="G19" s="58"/>
      <c r="H19" s="58"/>
    </row>
    <row r="20">
      <c r="A20" s="139"/>
      <c r="B20" s="139"/>
      <c r="C20" s="139"/>
      <c r="D20" s="139"/>
      <c r="E20" s="139"/>
      <c r="F20" s="139"/>
      <c r="G20" s="139"/>
      <c r="H20" s="13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