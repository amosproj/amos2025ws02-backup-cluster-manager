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Burn-down Chart (Mid-Project)" sheetId="11" r:id="rId13"/>
    <sheet state="visible" name="Final Project Release plan" sheetId="12" r:id="rId14"/>
    <sheet state="visible" name="Burn-down Chart (Final Release)"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<sst xmlns="http://schemas.openxmlformats.org/spreadsheetml/2006/main" count="536" uniqueCount="326">
  <si>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</si>
  <si>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</si>
  <si>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</si>
  <si>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</si>
  <si>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</si>
  <si>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</si>
  <si>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</si>
  <si>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</si>
  <si>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</si>
  <si>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</si>
  <si>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</si>
  <si>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</si>
  <si>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</si>
  <si>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</si>
  <si>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</si>
  <si>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</si>
  <si>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</si>
  <si>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</si>
  <si>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</si>
  <si>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</si>
  <si>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</si>
  <si>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</si>
  <si>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</si>
  <si>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</si>
  <si>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</si>
  <si>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</si>
  <si>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</si>
  <si>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</si>
  <si>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</si>
  <si>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</si>
  <si>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</si>
  <si>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</si>
  <si>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</si>
  <si>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</si>
  <si>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</si>
  <si>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</si>
  <si>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</si>
  <si>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</si>
  <si>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</si>
  <si>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</si>
  <si>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</si>
  <si>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</si>
  <si>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</si>
  <si>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</si>
  <si>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</si>
  <si>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</si>
  <si>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</si>
  <si>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</si>
  <si>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</si>
  <si>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</si>
  <si>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</si>
  <si>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</si>
  <si>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</si>
  <si>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</si>
  <si>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</si>
  <si>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</si>
  <si>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</si>
  <si>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</si>
  <si>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</si>
  <si>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</si>
  <si>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</si>
  <si>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</si>
  <si>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</si>
  <si>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</si>
  <si>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</si>
  <si>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</si>
  <si>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</si>
  <si>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</si>
  <si>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</si>
  <si>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</si>
  <si>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</si>
  <si>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</si>
  <si>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</si>
  <si>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</si>
  <si>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</si>
  <si>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</si>
  <si>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</si>
  <si>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</si>
  <si>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</si>
  <si>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</si>
  <si>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</si>
  <si>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</si>
  <si>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</si>
  <si>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</si>
  <si>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</si>
  <si>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</si>
  <si>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</si>
  <si>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</si>
  <si>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</si>
  <si>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</si>
  <si>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</si>
  <si>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</si>
  <si>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</si>
  <si>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</si>
  <si>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</si>
  <si>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</si>
  <si>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</si>
  <si>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</si>
  <si>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</si>
  <si>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</si>
  <si>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</si>
  <si>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</si>
  <si>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</si>
  <si>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</si>
  <si>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</si>
  <si>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</si>
  <si>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</si>
  <si>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</si>
  <si>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</si>
  <si>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</si>
  <si>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</si>
  <si>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</si>
  <si>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</si>
  <si>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</si>
  <si>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</si>
  <si>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</si>
  <si>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</si>
  <si>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</si>
  <si>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</si>
  <si>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</si>
  <si>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</si>
  <si>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</si>
  <si>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</si>
  <si>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</si>
  <si>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</si>
  <si>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</si>
  <si>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</si>
  <si>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</si>
  <si>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</si>
  <si>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</si>
  <si>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</si>
  <si>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</si>
  <si>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</si>
  <si>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</si>
  <si>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</si>
  <si>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</si>
  <si>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</si>
  <si>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</si>
  <si>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</si>
  <si>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</si>
  <si>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</si>
  <si>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</si>
  <si>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</si>
  <si>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</si>
  <si>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</si>
  <si>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</si>
  <si>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</si>
  <si>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</si>
  <si>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</si>
  <si>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</si>
  <si>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</si>
  <si>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</si>
  <si>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t>
  </si>
  <si>
    <t>Advanced Cluster Management Pt2</t>
  </si>
  <si>
    <t>Groups/Permissions + Failover</t>
  </si>
  <si>
    <t>Polishing + Metrics</t>
  </si>
  <si>
    <t>QA/Fixing</t>
  </si>
  <si>
    <t>Final Project Release</t>
  </si>
  <si>
    <t>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</si>
  <si>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</si>
  <si>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</si>
  <si>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</si>
  <si>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</si>
  <si>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</si>
  <si>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</si>
  <si>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</si>
  <si>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</si>
  <si>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</si>
  <si>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</si>
  <si>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</si>
  <si>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</si>
  <si>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</si>
  <si>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</si>
  <si>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</si>
  <si>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</si>
  <si>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</si>
  <si>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</si>
  <si>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</si>
  <si>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</si>
  <si>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</si>
  <si>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</si>
  <si>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</si>
  <si>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</si>
  <si>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</si>
  <si>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</si>
  <si>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</si>
  <si>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</si>
  <si>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</si>
  <si>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</si>
  <si>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</si>
  <si>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</si>
  <si>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</si>
  <si>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</si>
  <si>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</si>
  <si>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</si>
  <si>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</si>
  <si>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</si>
  <si>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</si>
  <si>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</si>
  <si>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</si>
  <si>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</si>
  <si>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</si>
  <si>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</si>
  <si>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</si>
  <si>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</si>
  <si>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</si>
  <si>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</si>
  <si>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</si>
  <si>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</si>
  <si>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</si>
  <si>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</si>
  <si>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</si>
  <si>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</si>
  <si>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</si>
  <si>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</si>
  <si>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</si>
  <si>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Bug: Nodes Cannot Register (Auth)</t>
  </si>
  <si>
    <t>Permission handling (Authorization)</t>
  </si>
  <si>
    <t>Dynamic Page/Content Updates</t>
  </si>
  <si>
    <t>Cluster Manager is a Node</t>
  </si>
  <si>
    <t>Architecture Review / Revisit</t>
  </si>
  <si>
    <t>Bulk Data Insertion / Preparation</t>
  </si>
  <si>
    <t>Architecture Review: Proper Operation Foward</t>
  </si>
  <si>
    <t>#146</t>
  </si>
  <si>
    <t>Updated Join Behavior</t>
  </si>
  <si>
    <t>#147</t>
  </si>
  <si>
    <t>Managed/Unmanaged Mode</t>
  </si>
  <si>
    <t>#148</t>
  </si>
  <si>
    <t>Shutdown, Restart and Remove</t>
  </si>
  <si>
    <t>#164</t>
  </si>
  <si>
    <t>Webflux Refresh</t>
  </si>
  <si>
    <t>#165</t>
  </si>
  <si>
    <t>Update UI</t>
  </si>
  <si>
    <t>#77</t>
  </si>
  <si>
    <t>Permissions/Groups Tab</t>
  </si>
  <si>
    <t>Tunneling</t>
  </si>
  <si>
    <t>Update Dashboard</t>
  </si>
  <si>
    <t>Expose Metrics via Actuator/Prometheus</t>
  </si>
  <si>
    <t>Improve Data Caching</t>
  </si>
  <si>
    <t>Cluster Manager Failover</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</si>
  <si>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</si>
  <si>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</si>
  <si>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</si>
  <si>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</si>
  <si>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</si>
  <si>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</si>
  <si>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</si>
  <si>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</si>
  <si>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</si>
  <si>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</si>
  <si>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</si>
  <si>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</si>
  <si>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</si>
  <si>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</si>
  <si>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</si>
  <si>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</si>
  <si>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</si>
  <si>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</si>
  <si>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</si>
  <si>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</si>
  <si>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</si>
  <si>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</si>
  <si>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</si>
  <si>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</si>
  <si>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</si>
  <si>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</si>
  <si>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</si>
  <si>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</si>
  <si>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</si>
  <si>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</si>
  <si>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</si>
  <si>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</si>
  <si>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</si>
  <si>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</si>
  <si>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</si>
  <si>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</si>
  <si>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</si>
  <si>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</si>
  <si>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</si>
  <si>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</si>
  <si>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</si>
  <si>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</si>
  <si>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</si>
  <si>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</si>
  <si>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</si>
  <si>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</si>
  <si>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</si>
  <si>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</si>
  <si>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</si>
  <si>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</si>
  <si>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</si>
  <si>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</si>
  <si>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</si>
  <si>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</si>
  <si>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</si>
  <si>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</si>
  <si>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</si>
  <si>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</si>
  <si>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</si>
  <si>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</si>
  <si>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</si>
  <si>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</si>
  <si>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</si>
  <si>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</si>
  <si>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</si>
  <si>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</si>
  <si>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</si>
  <si>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</si>
  <si>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</si>
  <si>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</si>
  <si>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</si>
  <si>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</si>
  <si>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Lombok</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</si>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</sst>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u/>
      <color rgb="FF0000FF"/>
      <name val="Arial"/>
    </font>
    <font>
      <b/>
      <u/>
      <color rgb="FF0000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37">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10" numFmtId="0" xfId="0" applyAlignment="1" applyFont="1">
      <alignment readingOrder="0" shrinkToFit="0" vertical="bottom" wrapText="1"/>
    </xf>
    <xf borderId="0" fillId="3" fontId="11"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2" numFmtId="4" xfId="0" applyAlignment="1" applyFont="1" applyNumberFormat="1">
      <alignment horizontal="center" shrinkToFit="0" vertical="center" wrapText="1"/>
    </xf>
    <xf borderId="0" fillId="8" fontId="12"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1252489834"/>
        <c:axId val="1405352001"/>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1252489834"/>
        <c:axId val="1405352001"/>
      </c:lineChart>
      <c:catAx>
        <c:axId val="125248983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05352001"/>
      </c:catAx>
      <c:valAx>
        <c:axId val="14053520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52489834"/>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1944140358"/>
        <c:axId val="2007447922"/>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Release)'!$A$2:$A$12</c:f>
              <c:numCache/>
            </c:numRef>
          </c:val>
          <c:smooth val="0"/>
        </c:ser>
        <c:axId val="1944140358"/>
        <c:axId val="2007447922"/>
      </c:lineChart>
      <c:catAx>
        <c:axId val="194414035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007447922"/>
      </c:catAx>
      <c:valAx>
        <c:axId val="20074479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44140358"/>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23"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ws02-backup-cluster-manager/issues/146" TargetMode="External"/><Relationship Id="rId2" Type="http://schemas.openxmlformats.org/officeDocument/2006/relationships/hyperlink" Target="https://github.com/amosproj/amos2025ws02-backup-cluster-manager/issues/147" TargetMode="External"/><Relationship Id="rId3" Type="http://schemas.openxmlformats.org/officeDocument/2006/relationships/hyperlink" Target="https://github.com/amosproj/amos2025ws02-backup-cluster-manager/issues/148" TargetMode="External"/><Relationship Id="rId4" Type="http://schemas.openxmlformats.org/officeDocument/2006/relationships/hyperlink" Target="https://github.com/amosproj/amos2025ws02-backup-cluster-manager/issues/164" TargetMode="External"/><Relationship Id="rId5" Type="http://schemas.openxmlformats.org/officeDocument/2006/relationships/hyperlink" Target="https://github.com/amosproj/amos2025ws02-backup-cluster-manager/issues/165" TargetMode="External"/><Relationship Id="rId6" Type="http://schemas.openxmlformats.org/officeDocument/2006/relationships/hyperlink" Target="https://github.com/amosproj/amos2025ws02-backup-cluster-manager/issues/77"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73</v>
      </c>
      <c r="D13" s="12" t="s">
        <v>72</v>
      </c>
      <c r="E13" s="12" t="s">
        <v>69</v>
      </c>
      <c r="F13" s="12" t="s">
        <v>78</v>
      </c>
      <c r="G13" s="12" t="s">
        <v>70</v>
      </c>
      <c r="H13" s="24"/>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5"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9" t="s">
        <v>156</v>
      </c>
    </row>
    <row r="15">
      <c r="A15" s="45">
        <f t="shared" si="1"/>
        <v>14</v>
      </c>
      <c r="B15" s="2" t="s">
        <v>157</v>
      </c>
    </row>
    <row r="16">
      <c r="A16" s="45"/>
      <c r="B16" s="2"/>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158</v>
      </c>
    </row>
    <row r="2">
      <c r="A2" s="45">
        <v>1.0</v>
      </c>
      <c r="B2" s="2">
        <f>'Final Project Release plan'!F9</f>
        <v>0</v>
      </c>
    </row>
    <row r="3">
      <c r="A3" s="45">
        <f t="shared" ref="A3:A16" si="1">A2+1</f>
        <v>2</v>
      </c>
      <c r="B3" s="2">
        <f>'Final Project Release plan'!F10</f>
        <v>13</v>
      </c>
    </row>
    <row r="4">
      <c r="A4" s="45">
        <f t="shared" si="1"/>
        <v>3</v>
      </c>
      <c r="B4" s="2">
        <f>'Final Project Release plan'!F11</f>
        <v>14</v>
      </c>
    </row>
    <row r="5">
      <c r="A5" s="45">
        <f t="shared" si="1"/>
        <v>4</v>
      </c>
      <c r="B5" s="2">
        <f>'Final Project Release plan'!F12</f>
        <v>20</v>
      </c>
    </row>
    <row r="6">
      <c r="A6" s="45">
        <f t="shared" si="1"/>
        <v>5</v>
      </c>
      <c r="B6" s="2">
        <f>'Final Project Release plan'!F13</f>
        <v>20</v>
      </c>
    </row>
    <row r="7">
      <c r="A7" s="45">
        <f t="shared" si="1"/>
        <v>6</v>
      </c>
      <c r="B7" s="2">
        <f>'Final Project Release plan'!F14</f>
        <v>20</v>
      </c>
    </row>
    <row r="8">
      <c r="A8" s="45">
        <f t="shared" si="1"/>
        <v>7</v>
      </c>
      <c r="B8" s="2">
        <f>'Final Project Release plan'!F15</f>
        <v>16</v>
      </c>
    </row>
    <row r="9">
      <c r="A9" s="45">
        <f t="shared" si="1"/>
        <v>8</v>
      </c>
      <c r="B9" s="2">
        <f>'Final Project Release plan'!F16</f>
        <v>4</v>
      </c>
    </row>
    <row r="10">
      <c r="A10" s="45">
        <f t="shared" si="1"/>
        <v>9</v>
      </c>
      <c r="B10" s="2" t="str">
        <f>'Final Project Release plan'!F17</f>
        <v/>
      </c>
    </row>
    <row r="11">
      <c r="A11" s="45">
        <f t="shared" si="1"/>
        <v>10</v>
      </c>
      <c r="B11" s="2" t="str">
        <f>'Final Project Release plan'!F18</f>
        <v/>
      </c>
    </row>
    <row r="12">
      <c r="A12" s="45">
        <f t="shared" si="1"/>
        <v>11</v>
      </c>
      <c r="B12" s="2" t="str">
        <f>'Final Project Release plan'!F19</f>
        <v/>
      </c>
    </row>
    <row r="13">
      <c r="A13" s="45">
        <f t="shared" si="1"/>
        <v>12</v>
      </c>
      <c r="B13" s="2" t="str">
        <f>'Final Project Release plan'!F20</f>
        <v/>
      </c>
    </row>
    <row r="14">
      <c r="A14" s="45">
        <f t="shared" si="1"/>
        <v>13</v>
      </c>
      <c r="B14" s="2" t="str">
        <f>'Final Project Release plan'!F21</f>
        <v/>
      </c>
    </row>
    <row r="15">
      <c r="A15" s="45">
        <f t="shared" si="1"/>
        <v>14</v>
      </c>
      <c r="B15" s="2" t="str">
        <f>'Final Project Release plan'!F22</f>
        <v/>
      </c>
    </row>
    <row r="16">
      <c r="A16" s="45">
        <f t="shared" si="1"/>
        <v>15</v>
      </c>
      <c r="B16" s="2" t="str">
        <f>'Final Project Release plan'!F23</f>
        <v/>
      </c>
    </row>
    <row r="17">
      <c r="A17" s="45"/>
      <c r="B17" s="3"/>
    </row>
    <row r="18">
      <c r="A18" s="45"/>
      <c r="B18" s="47" t="s">
        <v>159</v>
      </c>
    </row>
    <row r="19">
      <c r="A19" s="46"/>
      <c r="B19" s="3"/>
    </row>
    <row r="20">
      <c r="A20" s="46"/>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160</v>
      </c>
      <c r="B1" s="9" t="s">
        <v>161</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17.4</v>
      </c>
    </row>
    <row r="7">
      <c r="A7" s="9">
        <v>7.0</v>
      </c>
      <c r="B7">
        <f>AVERAGE('Velocity Tracking'!B3:B8)</f>
        <v>17.16666667</v>
      </c>
    </row>
    <row r="8">
      <c r="A8" s="9">
        <v>8.0</v>
      </c>
      <c r="B8">
        <f>AVERAGE('Velocity Tracking'!B3:B9)</f>
        <v>15.28571429</v>
      </c>
    </row>
    <row r="9">
      <c r="A9" s="9">
        <v>9.0</v>
      </c>
      <c r="B9">
        <f>AVERAGE('Velocity Tracking'!B3:B10)</f>
        <v>15.28571429</v>
      </c>
    </row>
    <row r="10">
      <c r="A10" s="9">
        <v>10.0</v>
      </c>
      <c r="B10">
        <f>AVERAGE('Velocity Tracking'!B3:B11)</f>
        <v>15.28571429</v>
      </c>
    </row>
    <row r="11">
      <c r="A11" s="9">
        <v>11.0</v>
      </c>
      <c r="B11">
        <f>AVERAGE('Velocity Tracking'!B3:B12)</f>
        <v>15.28571429</v>
      </c>
    </row>
    <row r="12">
      <c r="A12" s="9">
        <v>12.0</v>
      </c>
      <c r="B12">
        <f>AVERAGE('Velocity Tracking'!B3:B13)</f>
        <v>15.28571429</v>
      </c>
    </row>
    <row r="13">
      <c r="A13" s="9">
        <v>13.0</v>
      </c>
      <c r="B13">
        <f>AVERAGE('Velocity Tracking'!B3:B14)</f>
        <v>15.28571429</v>
      </c>
    </row>
    <row r="14">
      <c r="A14" s="9">
        <v>14.0</v>
      </c>
      <c r="B14">
        <f>AVERAGE('Velocity Tracking'!B3:B15)</f>
        <v>15.28571429</v>
      </c>
    </row>
    <row r="15">
      <c r="A15" s="9">
        <v>15.0</v>
      </c>
      <c r="B15">
        <f>AVERAGE('Velocity Tracking'!B3:B16)</f>
        <v>15.28571429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160</v>
      </c>
      <c r="B1" s="49" t="s">
        <v>162</v>
      </c>
      <c r="C1" s="50" t="s">
        <v>163</v>
      </c>
      <c r="D1" s="51" t="s">
        <v>164</v>
      </c>
      <c r="E1" s="51" t="s">
        <v>165</v>
      </c>
      <c r="F1" s="51" t="s">
        <v>166</v>
      </c>
      <c r="G1" s="51" t="s">
        <v>167</v>
      </c>
    </row>
    <row r="2">
      <c r="A2" s="52"/>
      <c r="B2" s="53"/>
      <c r="C2" s="35"/>
      <c r="D2" s="35"/>
      <c r="E2" s="35"/>
      <c r="F2" s="35"/>
      <c r="G2" s="35"/>
    </row>
    <row r="3">
      <c r="A3" s="54" t="s">
        <v>168</v>
      </c>
      <c r="B3" s="55"/>
      <c r="C3" s="56"/>
      <c r="D3" s="56"/>
      <c r="E3" s="56"/>
      <c r="F3" s="56"/>
      <c r="G3" s="56"/>
    </row>
    <row r="4">
      <c r="A4" s="52"/>
      <c r="B4" s="53"/>
      <c r="C4" s="35"/>
      <c r="D4" s="35"/>
      <c r="E4" s="35"/>
      <c r="F4" s="35"/>
      <c r="G4" s="35"/>
    </row>
    <row r="5">
      <c r="A5" s="57" t="s">
        <v>169</v>
      </c>
      <c r="B5" s="58"/>
      <c r="C5" s="36"/>
      <c r="D5" s="59">
        <f>sum(D8:D14)</f>
        <v>95</v>
      </c>
      <c r="E5" s="59">
        <f>D5</f>
        <v>95</v>
      </c>
      <c r="F5" s="36"/>
      <c r="G5" s="36"/>
    </row>
    <row r="6">
      <c r="A6" s="52"/>
      <c r="B6" s="53"/>
      <c r="C6" s="35"/>
      <c r="D6" s="35"/>
      <c r="E6" s="35"/>
      <c r="F6" s="35"/>
      <c r="G6" s="35"/>
    </row>
    <row r="7">
      <c r="A7" s="60" t="s">
        <v>170</v>
      </c>
      <c r="B7" s="61"/>
      <c r="C7" s="62"/>
      <c r="D7" s="62"/>
      <c r="E7" s="62"/>
      <c r="F7" s="62"/>
      <c r="G7" s="62"/>
    </row>
    <row r="8">
      <c r="A8" s="52"/>
      <c r="B8" s="53"/>
      <c r="C8" s="35"/>
      <c r="D8" s="35"/>
      <c r="E8" s="63" t="s">
        <v>171</v>
      </c>
      <c r="F8" s="35"/>
      <c r="G8" s="63" t="s">
        <v>172</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173</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174</v>
      </c>
      <c r="D21" s="77">
        <v>1.0</v>
      </c>
      <c r="E21" s="77"/>
      <c r="F21" s="77">
        <v>0.0</v>
      </c>
      <c r="G21" s="77"/>
    </row>
    <row r="22">
      <c r="A22" s="82"/>
      <c r="B22" s="82"/>
      <c r="C22" s="82" t="s">
        <v>175</v>
      </c>
      <c r="D22" s="82">
        <v>1.0</v>
      </c>
      <c r="E22" s="82"/>
      <c r="F22" s="82">
        <v>0.0</v>
      </c>
      <c r="G22" s="82"/>
    </row>
    <row r="23">
      <c r="A23" s="83">
        <f>A10</f>
        <v>2</v>
      </c>
      <c r="B23" s="84" t="str">
        <f>'Sprint Goals'!B3</f>
        <v>None</v>
      </c>
      <c r="D23" s="77"/>
      <c r="E23" s="77"/>
      <c r="F23" s="77"/>
      <c r="G23" s="77"/>
    </row>
    <row r="24">
      <c r="A24" s="85"/>
      <c r="B24" s="86"/>
      <c r="C24" s="35" t="s">
        <v>174</v>
      </c>
      <c r="D24" s="35">
        <v>1.0</v>
      </c>
      <c r="E24" s="35"/>
      <c r="F24" s="35">
        <v>1.0</v>
      </c>
      <c r="G24" s="35"/>
    </row>
    <row r="25">
      <c r="A25" s="64"/>
      <c r="B25" s="87"/>
      <c r="C25" s="36" t="s">
        <v>176</v>
      </c>
      <c r="D25" s="59">
        <v>3.0</v>
      </c>
      <c r="E25" s="36"/>
      <c r="F25" s="36">
        <v>2.0</v>
      </c>
      <c r="G25" s="36"/>
    </row>
    <row r="26">
      <c r="A26" s="85"/>
      <c r="B26" s="86"/>
      <c r="C26" s="86" t="s">
        <v>177</v>
      </c>
      <c r="D26" s="69">
        <v>2.0</v>
      </c>
      <c r="E26" s="86"/>
      <c r="F26" s="86">
        <v>2.0</v>
      </c>
      <c r="G26" s="86"/>
    </row>
    <row r="27">
      <c r="A27" s="64"/>
      <c r="B27" s="87"/>
      <c r="C27" s="36" t="s">
        <v>178</v>
      </c>
      <c r="D27" s="59">
        <v>3.0</v>
      </c>
      <c r="E27" s="36"/>
      <c r="F27" s="36">
        <v>3.0</v>
      </c>
      <c r="G27" s="36"/>
    </row>
    <row r="28">
      <c r="A28" s="85"/>
      <c r="B28" s="86"/>
      <c r="C28" s="35" t="s">
        <v>179</v>
      </c>
      <c r="D28" s="69">
        <v>3.0</v>
      </c>
      <c r="E28" s="86"/>
      <c r="F28" s="86">
        <v>2.0</v>
      </c>
      <c r="G28" s="86"/>
    </row>
    <row r="29">
      <c r="A29" s="64"/>
      <c r="B29" s="87"/>
      <c r="C29" s="36" t="s">
        <v>180</v>
      </c>
      <c r="D29" s="59">
        <v>2.0</v>
      </c>
      <c r="E29" s="36"/>
      <c r="F29" s="36">
        <v>2.0</v>
      </c>
      <c r="G29" s="36"/>
    </row>
    <row r="30">
      <c r="A30" s="85"/>
      <c r="B30" s="86"/>
      <c r="C30" s="35" t="s">
        <v>175</v>
      </c>
      <c r="D30" s="35">
        <v>1.0</v>
      </c>
      <c r="E30" s="35"/>
      <c r="F30" s="35">
        <v>1.0</v>
      </c>
      <c r="G30" s="35"/>
    </row>
    <row r="31">
      <c r="A31" s="64">
        <v>3.0</v>
      </c>
      <c r="B31" s="88" t="str">
        <f>'Sprint Goals'!B4</f>
        <v>None</v>
      </c>
      <c r="D31" s="59"/>
      <c r="E31" s="36"/>
      <c r="F31" s="36"/>
      <c r="G31" s="36"/>
    </row>
    <row r="32">
      <c r="A32" s="85"/>
      <c r="B32" s="86"/>
      <c r="C32" s="35" t="s">
        <v>181</v>
      </c>
      <c r="D32" s="35">
        <v>3.0</v>
      </c>
      <c r="E32" s="35"/>
      <c r="F32" s="35">
        <v>3.0</v>
      </c>
      <c r="G32" s="35"/>
    </row>
    <row r="33">
      <c r="A33" s="64"/>
      <c r="B33" s="87"/>
      <c r="C33" s="36" t="s">
        <v>182</v>
      </c>
      <c r="D33" s="59">
        <v>3.0</v>
      </c>
      <c r="E33" s="36"/>
      <c r="F33" s="36">
        <v>2.0</v>
      </c>
      <c r="G33" s="36"/>
    </row>
    <row r="34">
      <c r="A34" s="85"/>
      <c r="B34" s="86"/>
      <c r="C34" s="35" t="s">
        <v>183</v>
      </c>
      <c r="D34" s="35">
        <v>2.0</v>
      </c>
      <c r="E34" s="35"/>
      <c r="F34" s="35">
        <v>1.0</v>
      </c>
      <c r="G34" s="35"/>
    </row>
    <row r="35">
      <c r="A35" s="64"/>
      <c r="B35" s="87"/>
      <c r="C35" s="36" t="s">
        <v>184</v>
      </c>
      <c r="D35" s="59">
        <v>3.0</v>
      </c>
      <c r="E35" s="36"/>
      <c r="F35" s="36">
        <v>2.0</v>
      </c>
      <c r="G35" s="36"/>
    </row>
    <row r="36">
      <c r="A36" s="85"/>
      <c r="B36" s="86"/>
      <c r="C36" s="35" t="s">
        <v>185</v>
      </c>
      <c r="D36" s="35">
        <v>3.0</v>
      </c>
      <c r="E36" s="35"/>
      <c r="F36" s="35">
        <v>2.0</v>
      </c>
      <c r="G36" s="35"/>
    </row>
    <row r="37">
      <c r="A37" s="64"/>
      <c r="B37" s="87"/>
      <c r="C37" s="36" t="s">
        <v>186</v>
      </c>
      <c r="D37" s="59">
        <v>3.0</v>
      </c>
      <c r="E37" s="36"/>
      <c r="F37" s="36">
        <v>3.0</v>
      </c>
      <c r="G37" s="36"/>
    </row>
    <row r="38">
      <c r="A38" s="85"/>
      <c r="B38" s="86"/>
      <c r="C38" s="35" t="s">
        <v>187</v>
      </c>
      <c r="D38" s="35">
        <v>1.0</v>
      </c>
      <c r="E38" s="35"/>
      <c r="F38" s="35">
        <v>1.0</v>
      </c>
      <c r="G38" s="35"/>
    </row>
    <row r="39">
      <c r="A39" s="64"/>
      <c r="B39" s="87"/>
      <c r="C39" s="36" t="s">
        <v>188</v>
      </c>
      <c r="D39" s="59">
        <v>3.0</v>
      </c>
      <c r="E39" s="36"/>
      <c r="F39" s="36">
        <v>2.0</v>
      </c>
      <c r="G39" s="36"/>
    </row>
    <row r="40">
      <c r="A40" s="85">
        <v>4.0</v>
      </c>
      <c r="B40" s="89" t="str">
        <f>'Sprint Goals'!B5</f>
        <v>Working MVP with FE, CM and 2 Nodes</v>
      </c>
      <c r="C40" s="35"/>
      <c r="D40" s="35"/>
      <c r="E40" s="35"/>
      <c r="F40" s="35"/>
      <c r="G40" s="35"/>
    </row>
    <row r="41">
      <c r="A41" s="77"/>
      <c r="C41" s="77" t="s">
        <v>189</v>
      </c>
      <c r="D41" s="77">
        <v>3.0</v>
      </c>
      <c r="E41" s="77"/>
      <c r="F41" s="77">
        <v>3.0</v>
      </c>
      <c r="G41" s="77"/>
    </row>
    <row r="42">
      <c r="A42" s="82"/>
      <c r="B42" s="82"/>
      <c r="C42" s="82" t="s">
        <v>190</v>
      </c>
      <c r="D42" s="82">
        <v>3.0</v>
      </c>
      <c r="E42" s="82"/>
      <c r="F42" s="82">
        <v>3.0</v>
      </c>
      <c r="G42" s="82"/>
    </row>
    <row r="43">
      <c r="A43" s="77"/>
      <c r="B43" s="77"/>
      <c r="C43" s="77" t="s">
        <v>191</v>
      </c>
      <c r="D43" s="77">
        <v>3.0</v>
      </c>
      <c r="E43" s="77"/>
      <c r="F43" s="77">
        <v>3.0</v>
      </c>
      <c r="G43" s="77"/>
    </row>
    <row r="44">
      <c r="A44" s="82"/>
      <c r="B44" s="82"/>
      <c r="C44" s="82" t="s">
        <v>192</v>
      </c>
      <c r="D44" s="82">
        <v>3.0</v>
      </c>
      <c r="E44" s="82"/>
      <c r="F44" s="82">
        <v>3.0</v>
      </c>
      <c r="G44" s="82"/>
    </row>
    <row r="45">
      <c r="A45" s="77"/>
      <c r="B45" s="77"/>
      <c r="C45" s="77" t="s">
        <v>193</v>
      </c>
      <c r="D45" s="77">
        <v>3.0</v>
      </c>
      <c r="E45" s="77"/>
      <c r="F45" s="77">
        <v>3.0</v>
      </c>
      <c r="G45" s="77"/>
    </row>
    <row r="46">
      <c r="A46" s="82"/>
      <c r="B46" s="82"/>
      <c r="C46" s="82" t="s">
        <v>194</v>
      </c>
      <c r="D46" s="82">
        <v>0.0</v>
      </c>
      <c r="E46" s="82"/>
      <c r="F46" s="82">
        <v>0.0</v>
      </c>
      <c r="G46" s="82"/>
    </row>
    <row r="47">
      <c r="A47" s="77"/>
      <c r="B47" s="77"/>
      <c r="C47" s="77" t="s">
        <v>195</v>
      </c>
      <c r="D47" s="77">
        <v>3.0</v>
      </c>
      <c r="E47" s="77"/>
      <c r="F47" s="77">
        <v>2.0</v>
      </c>
      <c r="G47" s="77"/>
    </row>
    <row r="48">
      <c r="A48" s="82"/>
      <c r="B48" s="82"/>
      <c r="C48" s="82" t="s">
        <v>196</v>
      </c>
      <c r="D48" s="82">
        <v>3.0</v>
      </c>
      <c r="E48" s="82"/>
      <c r="F48" s="82">
        <v>3.0</v>
      </c>
      <c r="G48" s="82"/>
    </row>
    <row r="49">
      <c r="A49" s="77"/>
      <c r="B49" s="77"/>
      <c r="C49" s="77" t="s">
        <v>197</v>
      </c>
      <c r="D49" s="90">
        <v>0.0</v>
      </c>
      <c r="E49" s="77"/>
      <c r="F49" s="90">
        <v>0.0</v>
      </c>
      <c r="G49" s="77"/>
    </row>
    <row r="50">
      <c r="A50" s="82"/>
      <c r="B50" s="82"/>
      <c r="C50" s="82" t="s">
        <v>198</v>
      </c>
      <c r="D50" s="91">
        <v>0.0</v>
      </c>
      <c r="E50" s="82"/>
      <c r="F50" s="91">
        <v>0.0</v>
      </c>
      <c r="G50" s="82"/>
    </row>
    <row r="51">
      <c r="A51" s="77"/>
      <c r="B51" s="77"/>
      <c r="C51" s="77" t="s">
        <v>199</v>
      </c>
      <c r="D51" s="90">
        <v>0.0</v>
      </c>
      <c r="E51" s="77"/>
      <c r="F51" s="90">
        <v>0.0</v>
      </c>
      <c r="G51" s="77"/>
    </row>
    <row r="52">
      <c r="A52" s="79">
        <v>5.0</v>
      </c>
      <c r="B52" s="80" t="str">
        <f>'Sprint Goals'!B6</f>
        <v>Working MVP with FE, CM and 2 Nodes</v>
      </c>
      <c r="D52" s="82"/>
      <c r="E52" s="82"/>
      <c r="F52" s="82"/>
      <c r="G52" s="82"/>
    </row>
    <row r="53">
      <c r="A53" s="77"/>
      <c r="B53" s="77"/>
      <c r="C53" s="77" t="s">
        <v>197</v>
      </c>
      <c r="D53" s="90">
        <v>0.0</v>
      </c>
      <c r="E53" s="77"/>
      <c r="F53" s="90">
        <v>0.0</v>
      </c>
      <c r="G53" s="77"/>
    </row>
    <row r="54">
      <c r="A54" s="82"/>
      <c r="B54" s="82"/>
      <c r="C54" s="82" t="s">
        <v>198</v>
      </c>
      <c r="D54" s="82">
        <v>3.0</v>
      </c>
      <c r="E54" s="82"/>
      <c r="F54" s="91">
        <v>2.0</v>
      </c>
      <c r="G54" s="82"/>
    </row>
    <row r="55">
      <c r="A55" s="77"/>
      <c r="B55" s="77"/>
      <c r="C55" s="77" t="s">
        <v>199</v>
      </c>
      <c r="D55" s="77">
        <v>3.0</v>
      </c>
      <c r="E55" s="77"/>
      <c r="F55" s="90">
        <v>1.0</v>
      </c>
      <c r="G55" s="77"/>
    </row>
    <row r="56">
      <c r="A56" s="82"/>
      <c r="B56" s="82"/>
      <c r="C56" s="82" t="s">
        <v>200</v>
      </c>
      <c r="D56" s="91">
        <v>0.0</v>
      </c>
      <c r="E56" s="82"/>
      <c r="F56" s="91">
        <v>0.0</v>
      </c>
      <c r="G56" s="82"/>
    </row>
    <row r="57">
      <c r="A57" s="77"/>
      <c r="B57" s="77"/>
      <c r="C57" s="77" t="s">
        <v>201</v>
      </c>
      <c r="D57" s="77">
        <v>3.0</v>
      </c>
      <c r="E57" s="77"/>
      <c r="F57" s="90">
        <v>5.0</v>
      </c>
      <c r="G57" s="77"/>
    </row>
    <row r="58">
      <c r="A58" s="82"/>
      <c r="B58" s="82"/>
      <c r="C58" s="82" t="s">
        <v>202</v>
      </c>
      <c r="D58" s="91">
        <v>0.0</v>
      </c>
      <c r="E58" s="82"/>
      <c r="F58" s="91">
        <v>0.0</v>
      </c>
      <c r="G58" s="82"/>
    </row>
    <row r="59">
      <c r="A59" s="77"/>
      <c r="B59" s="77"/>
      <c r="C59" s="77" t="s">
        <v>203</v>
      </c>
      <c r="D59" s="90">
        <v>0.0</v>
      </c>
      <c r="E59" s="77"/>
      <c r="F59" s="90">
        <v>0.0</v>
      </c>
      <c r="G59" s="77"/>
    </row>
    <row r="60">
      <c r="A60" s="82"/>
      <c r="B60" s="82"/>
      <c r="C60" s="82" t="s">
        <v>204</v>
      </c>
      <c r="D60" s="91">
        <v>0.0</v>
      </c>
      <c r="E60" s="82"/>
      <c r="F60" s="91">
        <v>0.0</v>
      </c>
      <c r="G60" s="82"/>
    </row>
    <row r="61">
      <c r="A61" s="77"/>
      <c r="B61" s="77"/>
      <c r="C61" s="77" t="s">
        <v>205</v>
      </c>
      <c r="D61" s="77">
        <v>2.0</v>
      </c>
      <c r="E61" s="77"/>
      <c r="F61" s="90">
        <v>2.0</v>
      </c>
      <c r="G61" s="77"/>
    </row>
    <row r="62">
      <c r="A62" s="82"/>
      <c r="B62" s="82"/>
      <c r="C62" s="82" t="s">
        <v>206</v>
      </c>
      <c r="D62" s="82">
        <v>5.0</v>
      </c>
      <c r="E62" s="82"/>
      <c r="F62" s="91">
        <v>8.0</v>
      </c>
      <c r="G62" s="82"/>
    </row>
    <row r="63">
      <c r="A63" s="77"/>
      <c r="B63" s="77"/>
      <c r="C63" s="77" t="s">
        <v>207</v>
      </c>
      <c r="D63" s="90">
        <v>0.0</v>
      </c>
      <c r="E63" s="77"/>
      <c r="F63" s="90">
        <v>0.0</v>
      </c>
      <c r="G63" s="77"/>
    </row>
    <row r="64">
      <c r="A64" s="82"/>
      <c r="B64" s="82"/>
      <c r="C64" s="82" t="s">
        <v>208</v>
      </c>
      <c r="D64" s="91">
        <v>0.0</v>
      </c>
      <c r="E64" s="82"/>
      <c r="F64" s="91">
        <v>0.0</v>
      </c>
      <c r="G64" s="82"/>
    </row>
    <row r="65">
      <c r="A65" s="77"/>
      <c r="B65" s="77"/>
      <c r="C65" s="77" t="s">
        <v>209</v>
      </c>
      <c r="D65" s="90">
        <v>0.0</v>
      </c>
      <c r="E65" s="77"/>
      <c r="F65" s="90">
        <v>0.0</v>
      </c>
      <c r="G65" s="77"/>
    </row>
    <row r="66">
      <c r="A66" s="82"/>
      <c r="B66" s="82"/>
      <c r="C66" s="82" t="s">
        <v>210</v>
      </c>
      <c r="D66" s="82">
        <v>2.0</v>
      </c>
      <c r="E66" s="82"/>
      <c r="F66" s="91">
        <v>2.0</v>
      </c>
      <c r="G66" s="82"/>
    </row>
    <row r="67">
      <c r="A67" s="83">
        <v>6.0</v>
      </c>
      <c r="B67" s="84" t="str">
        <f>'Sprint Goals'!B7</f>
        <v>Mid-Project Release</v>
      </c>
      <c r="D67" s="77"/>
      <c r="E67" s="77"/>
      <c r="F67" s="77"/>
      <c r="G67" s="77"/>
    </row>
    <row r="68">
      <c r="A68" s="82"/>
      <c r="B68" s="82"/>
      <c r="C68" s="82" t="s">
        <v>197</v>
      </c>
      <c r="D68" s="91">
        <v>0.0</v>
      </c>
      <c r="E68" s="82"/>
      <c r="F68" s="91">
        <v>0.0</v>
      </c>
      <c r="G68" s="82"/>
    </row>
    <row r="69">
      <c r="A69" s="77"/>
      <c r="B69" s="77"/>
      <c r="C69" s="77" t="s">
        <v>203</v>
      </c>
      <c r="D69" s="77">
        <v>3.0</v>
      </c>
      <c r="E69" s="77"/>
      <c r="F69" s="90">
        <v>3.0</v>
      </c>
      <c r="G69" s="77"/>
    </row>
    <row r="70">
      <c r="A70" s="82"/>
      <c r="B70" s="82"/>
      <c r="C70" s="82" t="s">
        <v>209</v>
      </c>
      <c r="D70" s="82">
        <v>3.0</v>
      </c>
      <c r="E70" s="82"/>
      <c r="F70" s="91">
        <v>3.0</v>
      </c>
      <c r="G70" s="82"/>
    </row>
    <row r="71">
      <c r="A71" s="77"/>
      <c r="B71" s="77"/>
      <c r="C71" s="77" t="s">
        <v>204</v>
      </c>
      <c r="D71" s="90">
        <v>0.0</v>
      </c>
      <c r="E71" s="77"/>
      <c r="F71" s="90">
        <v>0.0</v>
      </c>
      <c r="G71" s="77"/>
    </row>
    <row r="72">
      <c r="A72" s="82"/>
      <c r="B72" s="82"/>
      <c r="C72" s="82" t="s">
        <v>207</v>
      </c>
      <c r="D72" s="41">
        <v>5.0</v>
      </c>
      <c r="E72" s="82"/>
      <c r="F72" s="91">
        <v>5.0</v>
      </c>
      <c r="G72" s="82"/>
    </row>
    <row r="73">
      <c r="A73" s="77"/>
      <c r="B73" s="77"/>
      <c r="C73" s="77" t="s">
        <v>208</v>
      </c>
      <c r="D73" s="90">
        <v>2.0</v>
      </c>
      <c r="E73" s="77"/>
      <c r="F73" s="90">
        <v>3.0</v>
      </c>
      <c r="G73" s="77"/>
    </row>
    <row r="74">
      <c r="A74" s="82"/>
      <c r="B74" s="82"/>
      <c r="C74" s="91" t="s">
        <v>211</v>
      </c>
      <c r="D74" s="91">
        <v>0.0</v>
      </c>
      <c r="E74" s="82"/>
      <c r="F74" s="91">
        <v>0.0</v>
      </c>
      <c r="G74" s="82"/>
    </row>
    <row r="75">
      <c r="A75" s="77"/>
      <c r="B75" s="77"/>
      <c r="C75" s="90" t="s">
        <v>212</v>
      </c>
      <c r="D75" s="90">
        <v>0.0</v>
      </c>
      <c r="E75" s="77"/>
      <c r="F75" s="90">
        <v>0.0</v>
      </c>
      <c r="G75" s="77"/>
    </row>
    <row r="76">
      <c r="A76" s="82"/>
      <c r="B76" s="82"/>
      <c r="C76" s="82" t="s">
        <v>200</v>
      </c>
      <c r="D76" s="91">
        <v>3.0</v>
      </c>
      <c r="E76" s="82"/>
      <c r="F76" s="91">
        <v>3.0</v>
      </c>
      <c r="G76" s="82"/>
    </row>
    <row r="77">
      <c r="A77" s="77"/>
      <c r="B77" s="77"/>
      <c r="C77" s="77" t="s">
        <v>202</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213</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214</v>
      </c>
    </row>
    <row r="2">
      <c r="A2">
        <f>'Mid-Project Release plan'!D5</f>
        <v>95</v>
      </c>
      <c r="B2">
        <f>'Velocity Chart'!B5</f>
        <v>16.75</v>
      </c>
    </row>
    <row r="3">
      <c r="A3">
        <f t="shared" ref="A3:A8" si="1">A2-B2</f>
        <v>78.25</v>
      </c>
      <c r="B3">
        <f>'Velocity Chart'!B6</f>
        <v>17.4</v>
      </c>
    </row>
    <row r="4">
      <c r="A4">
        <f t="shared" si="1"/>
        <v>60.85</v>
      </c>
      <c r="B4">
        <f>'Velocity Chart'!B7</f>
        <v>17.16666667</v>
      </c>
    </row>
    <row r="5">
      <c r="A5">
        <f t="shared" si="1"/>
        <v>43.68333333</v>
      </c>
      <c r="B5">
        <f>'Velocity Chart'!B8</f>
        <v>15.28571429</v>
      </c>
    </row>
    <row r="6">
      <c r="A6">
        <f t="shared" si="1"/>
        <v>28.39761905</v>
      </c>
      <c r="B6">
        <f>'Velocity Chart'!B9</f>
        <v>15.28571429</v>
      </c>
    </row>
    <row r="7">
      <c r="A7">
        <f t="shared" si="1"/>
        <v>13.11190476</v>
      </c>
      <c r="B7">
        <f>'Velocity Chart'!B10</f>
        <v>15.28571429</v>
      </c>
    </row>
    <row r="8">
      <c r="A8">
        <f t="shared" si="1"/>
        <v>-2.173809524</v>
      </c>
      <c r="B8">
        <f>'Velocity Chart'!B11</f>
        <v>15.28571429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42.63"/>
    <col customWidth="1" min="4" max="7" width="15.75"/>
  </cols>
  <sheetData>
    <row r="1">
      <c r="A1" s="48" t="s">
        <v>160</v>
      </c>
      <c r="B1" s="96" t="s">
        <v>162</v>
      </c>
      <c r="C1" s="50" t="s">
        <v>163</v>
      </c>
      <c r="D1" s="51" t="s">
        <v>164</v>
      </c>
      <c r="E1" s="51" t="s">
        <v>165</v>
      </c>
      <c r="F1" s="51" t="s">
        <v>166</v>
      </c>
      <c r="G1" s="51" t="s">
        <v>167</v>
      </c>
    </row>
    <row r="2">
      <c r="A2" s="52"/>
      <c r="B2" s="35"/>
      <c r="C2" s="35"/>
      <c r="D2" s="35"/>
      <c r="E2" s="35"/>
      <c r="F2" s="35"/>
      <c r="G2" s="35"/>
    </row>
    <row r="3">
      <c r="A3" s="54" t="s">
        <v>168</v>
      </c>
      <c r="B3" s="56"/>
      <c r="C3" s="56"/>
      <c r="D3" s="56"/>
      <c r="E3" s="56"/>
      <c r="F3" s="56"/>
      <c r="G3" s="56"/>
    </row>
    <row r="4">
      <c r="A4" s="52"/>
      <c r="B4" s="35"/>
      <c r="C4" s="35"/>
      <c r="D4" s="35"/>
      <c r="E4" s="35"/>
      <c r="F4" s="35"/>
      <c r="G4" s="35"/>
    </row>
    <row r="5">
      <c r="A5" s="57" t="s">
        <v>169</v>
      </c>
      <c r="B5" s="36"/>
      <c r="C5" s="36"/>
      <c r="D5" s="59">
        <f>sum(D9:D22)</f>
        <v>210</v>
      </c>
      <c r="E5" s="59">
        <f>D5</f>
        <v>210</v>
      </c>
      <c r="F5" s="36"/>
      <c r="G5" s="36"/>
    </row>
    <row r="6">
      <c r="A6" s="52"/>
      <c r="B6" s="35"/>
      <c r="C6" s="35"/>
      <c r="D6" s="35"/>
      <c r="E6" s="35"/>
      <c r="F6" s="35"/>
      <c r="G6" s="35"/>
    </row>
    <row r="7">
      <c r="A7" s="60" t="s">
        <v>170</v>
      </c>
      <c r="B7" s="97"/>
      <c r="C7" s="62"/>
      <c r="D7" s="62"/>
      <c r="E7" s="62"/>
      <c r="F7" s="62"/>
      <c r="G7" s="62"/>
    </row>
    <row r="8">
      <c r="A8" s="52"/>
      <c r="B8" s="35"/>
      <c r="C8" s="35"/>
      <c r="D8" s="35"/>
      <c r="E8" s="63" t="s">
        <v>171</v>
      </c>
      <c r="F8" s="35"/>
      <c r="G8" s="63" t="s">
        <v>172</v>
      </c>
    </row>
    <row r="9">
      <c r="A9" s="64">
        <v>1.0</v>
      </c>
      <c r="B9" s="65" t="str">
        <f>'Sprint Goals'!B2</f>
        <v>None</v>
      </c>
      <c r="D9" s="59">
        <f>sum(D28:D29)</f>
        <v>2</v>
      </c>
      <c r="E9" s="59">
        <f>$D$5</f>
        <v>210</v>
      </c>
      <c r="F9" s="66">
        <f>SUM(F27:F29)</f>
        <v>0</v>
      </c>
      <c r="G9" s="59">
        <f>$D$5</f>
        <v>210</v>
      </c>
    </row>
    <row r="10">
      <c r="A10" s="52">
        <f t="shared" ref="A10:A22" si="1">A9+1</f>
        <v>2</v>
      </c>
      <c r="B10" s="67" t="str">
        <f>'Sprint Goals'!B3</f>
        <v>None</v>
      </c>
      <c r="D10" s="68">
        <f>SUM(D31:D37)</f>
        <v>15</v>
      </c>
      <c r="E10" s="69">
        <f t="shared" ref="E10:E17" si="2">E9-D9</f>
        <v>208</v>
      </c>
      <c r="F10" s="68">
        <f>SUM(F31:F37)</f>
        <v>13</v>
      </c>
      <c r="G10" s="69">
        <f t="shared" ref="G10:G16" si="3">G9-F9</f>
        <v>210</v>
      </c>
    </row>
    <row r="11">
      <c r="A11" s="98">
        <f t="shared" si="1"/>
        <v>3</v>
      </c>
      <c r="B11" s="65" t="str">
        <f>'Sprint Goals'!B4</f>
        <v>None</v>
      </c>
      <c r="D11" s="66">
        <f>SUM(D39:D46)</f>
        <v>21</v>
      </c>
      <c r="E11" s="59">
        <f t="shared" si="2"/>
        <v>193</v>
      </c>
      <c r="F11" s="66">
        <v>14.0</v>
      </c>
      <c r="G11" s="59">
        <f t="shared" si="3"/>
        <v>197</v>
      </c>
    </row>
    <row r="12">
      <c r="A12" s="52">
        <f t="shared" si="1"/>
        <v>4</v>
      </c>
      <c r="B12" s="67" t="str">
        <f>'Sprint Goals'!B5</f>
        <v>Working MVP with FE, CM and 2 Nodes</v>
      </c>
      <c r="D12" s="71">
        <f>SUM(D48:D58)</f>
        <v>29</v>
      </c>
      <c r="E12" s="69">
        <f t="shared" si="2"/>
        <v>172</v>
      </c>
      <c r="F12" s="71">
        <f>SUM(F48:F58)</f>
        <v>20</v>
      </c>
      <c r="G12" s="69">
        <f t="shared" si="3"/>
        <v>183</v>
      </c>
    </row>
    <row r="13">
      <c r="A13" s="98">
        <f t="shared" si="1"/>
        <v>5</v>
      </c>
      <c r="B13" s="65" t="str">
        <f>'Sprint Goals'!B6</f>
        <v>Working MVP with FE, CM and 2 Nodes</v>
      </c>
      <c r="D13" s="59">
        <f>SUM(D60:D73)</f>
        <v>18</v>
      </c>
      <c r="E13" s="59">
        <f t="shared" si="2"/>
        <v>143</v>
      </c>
      <c r="F13" s="66">
        <f>SUM(F60:F73)</f>
        <v>20</v>
      </c>
      <c r="G13" s="59">
        <f t="shared" si="3"/>
        <v>163</v>
      </c>
    </row>
    <row r="14">
      <c r="A14" s="52">
        <f t="shared" si="1"/>
        <v>6</v>
      </c>
      <c r="B14" s="67" t="str">
        <f>'Sprint Goals'!B7</f>
        <v>Mid-Project Release</v>
      </c>
      <c r="D14" s="68">
        <f>SUM(D75:D84)</f>
        <v>18</v>
      </c>
      <c r="E14" s="69">
        <f t="shared" si="2"/>
        <v>125</v>
      </c>
      <c r="F14" s="68">
        <f>SUM(F75:F84)</f>
        <v>20</v>
      </c>
      <c r="G14" s="69">
        <f t="shared" si="3"/>
        <v>143</v>
      </c>
    </row>
    <row r="15">
      <c r="A15" s="98">
        <f t="shared" si="1"/>
        <v>7</v>
      </c>
      <c r="B15" s="65" t="str">
        <f>'Sprint Goals'!B8</f>
        <v>Working Backup Schedules and Mock Tasks</v>
      </c>
      <c r="D15" s="66">
        <f>SUM(D86:D90)</f>
        <v>20</v>
      </c>
      <c r="E15" s="59">
        <f t="shared" si="2"/>
        <v>107</v>
      </c>
      <c r="F15" s="66">
        <f>SUM(F86:F90)</f>
        <v>16</v>
      </c>
      <c r="G15" s="59">
        <f t="shared" si="3"/>
        <v>123</v>
      </c>
    </row>
    <row r="16">
      <c r="A16" s="52">
        <f t="shared" si="1"/>
        <v>8</v>
      </c>
      <c r="B16" s="67" t="str">
        <f>'Sprint Goals'!B9</f>
        <v>Working Permissions / User Groups + Bulk Data</v>
      </c>
      <c r="D16" s="41">
        <f>SUM(D92:D97)</f>
        <v>7</v>
      </c>
      <c r="E16" s="69">
        <f t="shared" si="2"/>
        <v>87</v>
      </c>
      <c r="F16" s="40">
        <f>SUM(F92:F97)</f>
        <v>4</v>
      </c>
      <c r="G16" s="59">
        <f t="shared" si="3"/>
        <v>107</v>
      </c>
    </row>
    <row r="17">
      <c r="A17" s="98">
        <f t="shared" si="1"/>
        <v>9</v>
      </c>
      <c r="B17" s="99" t="str">
        <f>'Sprint Goals'!B10</f>
        <v>Advanced Cluster Management</v>
      </c>
      <c r="D17" s="100">
        <f>SUM(D99:D103)</f>
        <v>20</v>
      </c>
      <c r="E17" s="100">
        <f t="shared" si="2"/>
        <v>80</v>
      </c>
      <c r="G17" s="59"/>
    </row>
    <row r="18">
      <c r="A18" s="52">
        <f t="shared" si="1"/>
        <v>10</v>
      </c>
      <c r="B18" s="101" t="str">
        <f>'Sprint Goals'!B11</f>
        <v>Advanced Cluster Management Pt2</v>
      </c>
      <c r="D18" s="40">
        <f>SUM(D105:D107)</f>
        <v>13</v>
      </c>
      <c r="G18" s="59"/>
    </row>
    <row r="19">
      <c r="A19" s="98">
        <f t="shared" si="1"/>
        <v>11</v>
      </c>
      <c r="B19" s="99" t="str">
        <f>'Sprint Goals'!B12</f>
        <v>Groups/Permissions + Failover</v>
      </c>
      <c r="D19" s="100">
        <f>SUM(D109:D112)</f>
        <v>18</v>
      </c>
      <c r="G19" s="59"/>
    </row>
    <row r="20">
      <c r="A20" s="52">
        <f t="shared" si="1"/>
        <v>12</v>
      </c>
      <c r="B20" s="101" t="str">
        <f>'Sprint Goals'!B13</f>
        <v>Polishing + Metrics</v>
      </c>
      <c r="D20" s="41">
        <f>SUM(D114:D116)</f>
        <v>16</v>
      </c>
      <c r="G20" s="59"/>
    </row>
    <row r="21">
      <c r="A21" s="98">
        <f t="shared" si="1"/>
        <v>13</v>
      </c>
      <c r="B21" s="99" t="str">
        <f>'Sprint Goals'!B14</f>
        <v>QA/Fixing</v>
      </c>
      <c r="D21" s="100">
        <f>SUM(D118)</f>
        <v>13</v>
      </c>
      <c r="G21" s="59"/>
    </row>
    <row r="22">
      <c r="A22" s="52">
        <f t="shared" si="1"/>
        <v>14</v>
      </c>
      <c r="B22" s="101" t="str">
        <f>'Sprint Goals'!B15</f>
        <v>Final Project Release</v>
      </c>
      <c r="D22" s="41">
        <v>0.0</v>
      </c>
      <c r="G22" s="59"/>
    </row>
    <row r="23">
      <c r="A23" s="98"/>
      <c r="B23" s="99" t="str">
        <f>'Sprint Goals'!B16</f>
        <v/>
      </c>
      <c r="G23" s="59"/>
    </row>
    <row r="24">
      <c r="A24" s="52"/>
    </row>
    <row r="25">
      <c r="A25" s="74" t="s">
        <v>173</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174</v>
      </c>
      <c r="D28" s="82">
        <v>1.0</v>
      </c>
      <c r="E28" s="82"/>
      <c r="F28" s="82">
        <v>0.0</v>
      </c>
      <c r="G28" s="82"/>
    </row>
    <row r="29">
      <c r="A29" s="77"/>
      <c r="B29" s="77"/>
      <c r="C29" s="77" t="s">
        <v>175</v>
      </c>
      <c r="D29" s="77">
        <v>1.0</v>
      </c>
      <c r="E29" s="77"/>
      <c r="F29" s="77">
        <v>0.0</v>
      </c>
      <c r="G29" s="77"/>
    </row>
    <row r="30">
      <c r="A30" s="79">
        <f>A10</f>
        <v>2</v>
      </c>
      <c r="B30" s="80" t="str">
        <f>'Sprint Goals'!B3</f>
        <v>None</v>
      </c>
      <c r="D30" s="82"/>
      <c r="E30" s="82"/>
      <c r="F30" s="82"/>
      <c r="G30" s="82"/>
    </row>
    <row r="31">
      <c r="A31" s="85"/>
      <c r="B31" s="86"/>
      <c r="C31" s="35" t="s">
        <v>174</v>
      </c>
      <c r="D31" s="35">
        <v>1.0</v>
      </c>
      <c r="E31" s="35"/>
      <c r="F31" s="35">
        <v>1.0</v>
      </c>
      <c r="G31" s="35"/>
    </row>
    <row r="32">
      <c r="A32" s="64"/>
      <c r="B32" s="87"/>
      <c r="C32" s="36" t="s">
        <v>176</v>
      </c>
      <c r="D32" s="59">
        <v>3.0</v>
      </c>
      <c r="E32" s="36"/>
      <c r="F32" s="36">
        <v>2.0</v>
      </c>
      <c r="G32" s="36"/>
    </row>
    <row r="33">
      <c r="A33" s="85"/>
      <c r="B33" s="86"/>
      <c r="C33" s="86" t="s">
        <v>177</v>
      </c>
      <c r="D33" s="69">
        <v>2.0</v>
      </c>
      <c r="E33" s="86"/>
      <c r="F33" s="86">
        <v>2.0</v>
      </c>
      <c r="G33" s="86"/>
    </row>
    <row r="34">
      <c r="A34" s="64"/>
      <c r="B34" s="87"/>
      <c r="C34" s="36" t="s">
        <v>178</v>
      </c>
      <c r="D34" s="59">
        <v>3.0</v>
      </c>
      <c r="E34" s="36"/>
      <c r="F34" s="36">
        <v>3.0</v>
      </c>
      <c r="G34" s="36"/>
    </row>
    <row r="35">
      <c r="A35" s="85"/>
      <c r="B35" s="86"/>
      <c r="C35" s="35" t="s">
        <v>179</v>
      </c>
      <c r="D35" s="69">
        <v>3.0</v>
      </c>
      <c r="E35" s="86"/>
      <c r="F35" s="86">
        <v>2.0</v>
      </c>
      <c r="G35" s="86"/>
    </row>
    <row r="36">
      <c r="A36" s="64"/>
      <c r="B36" s="87"/>
      <c r="C36" s="36" t="s">
        <v>180</v>
      </c>
      <c r="D36" s="59">
        <v>2.0</v>
      </c>
      <c r="E36" s="36"/>
      <c r="F36" s="36">
        <v>2.0</v>
      </c>
      <c r="G36" s="36"/>
    </row>
    <row r="37">
      <c r="A37" s="85"/>
      <c r="B37" s="86"/>
      <c r="C37" s="35" t="s">
        <v>175</v>
      </c>
      <c r="D37" s="35">
        <v>1.0</v>
      </c>
      <c r="E37" s="35"/>
      <c r="F37" s="35">
        <v>1.0</v>
      </c>
      <c r="G37" s="35"/>
    </row>
    <row r="38">
      <c r="A38" s="64">
        <v>3.0</v>
      </c>
      <c r="B38" s="88" t="str">
        <f>'Sprint Goals'!B4</f>
        <v>None</v>
      </c>
      <c r="D38" s="59"/>
      <c r="E38" s="36"/>
      <c r="F38" s="36"/>
      <c r="G38" s="36"/>
    </row>
    <row r="39">
      <c r="A39" s="85"/>
      <c r="B39" s="86"/>
      <c r="C39" s="35" t="s">
        <v>181</v>
      </c>
      <c r="D39" s="35">
        <v>3.0</v>
      </c>
      <c r="E39" s="35"/>
      <c r="F39" s="35">
        <v>3.0</v>
      </c>
      <c r="G39" s="35"/>
    </row>
    <row r="40">
      <c r="A40" s="64"/>
      <c r="B40" s="87"/>
      <c r="C40" s="36" t="s">
        <v>182</v>
      </c>
      <c r="D40" s="59">
        <v>3.0</v>
      </c>
      <c r="E40" s="36"/>
      <c r="F40" s="36">
        <v>2.0</v>
      </c>
      <c r="G40" s="36"/>
    </row>
    <row r="41">
      <c r="A41" s="85"/>
      <c r="B41" s="86"/>
      <c r="C41" s="35" t="s">
        <v>183</v>
      </c>
      <c r="D41" s="35">
        <v>2.0</v>
      </c>
      <c r="E41" s="35"/>
      <c r="F41" s="35">
        <v>1.0</v>
      </c>
      <c r="G41" s="35"/>
    </row>
    <row r="42">
      <c r="A42" s="64"/>
      <c r="B42" s="87"/>
      <c r="C42" s="36" t="s">
        <v>184</v>
      </c>
      <c r="D42" s="59">
        <v>3.0</v>
      </c>
      <c r="E42" s="36"/>
      <c r="F42" s="36">
        <v>2.0</v>
      </c>
      <c r="G42" s="36"/>
    </row>
    <row r="43">
      <c r="A43" s="85"/>
      <c r="B43" s="86"/>
      <c r="C43" s="35" t="s">
        <v>185</v>
      </c>
      <c r="D43" s="35">
        <v>3.0</v>
      </c>
      <c r="E43" s="35"/>
      <c r="F43" s="35">
        <v>2.0</v>
      </c>
      <c r="G43" s="35"/>
    </row>
    <row r="44">
      <c r="A44" s="64"/>
      <c r="B44" s="87"/>
      <c r="C44" s="36" t="s">
        <v>186</v>
      </c>
      <c r="D44" s="59">
        <v>3.0</v>
      </c>
      <c r="E44" s="36"/>
      <c r="F44" s="36">
        <v>3.0</v>
      </c>
      <c r="G44" s="36"/>
    </row>
    <row r="45">
      <c r="A45" s="85"/>
      <c r="B45" s="86"/>
      <c r="C45" s="35" t="s">
        <v>187</v>
      </c>
      <c r="D45" s="35">
        <v>1.0</v>
      </c>
      <c r="E45" s="35"/>
      <c r="F45" s="35">
        <v>1.0</v>
      </c>
      <c r="G45" s="35"/>
    </row>
    <row r="46">
      <c r="A46" s="64"/>
      <c r="B46" s="87"/>
      <c r="C46" s="36" t="s">
        <v>188</v>
      </c>
      <c r="D46" s="59">
        <v>3.0</v>
      </c>
      <c r="E46" s="36"/>
      <c r="F46" s="36">
        <v>2.0</v>
      </c>
      <c r="G46" s="36"/>
    </row>
    <row r="47">
      <c r="A47" s="85">
        <v>4.0</v>
      </c>
      <c r="B47" s="89" t="str">
        <f>'Sprint Goals'!B5</f>
        <v>Working MVP with FE, CM and 2 Nodes</v>
      </c>
      <c r="C47" s="35"/>
      <c r="D47" s="35"/>
      <c r="E47" s="35"/>
      <c r="F47" s="35"/>
      <c r="G47" s="35"/>
    </row>
    <row r="48">
      <c r="A48" s="82"/>
      <c r="C48" s="82" t="s">
        <v>189</v>
      </c>
      <c r="D48" s="82">
        <v>3.0</v>
      </c>
      <c r="E48" s="82"/>
      <c r="F48" s="82">
        <v>3.0</v>
      </c>
      <c r="G48" s="82"/>
    </row>
    <row r="49">
      <c r="A49" s="77"/>
      <c r="B49" s="77"/>
      <c r="C49" s="77" t="s">
        <v>190</v>
      </c>
      <c r="D49" s="77">
        <v>3.0</v>
      </c>
      <c r="E49" s="77"/>
      <c r="F49" s="77">
        <v>3.0</v>
      </c>
      <c r="G49" s="77"/>
    </row>
    <row r="50">
      <c r="A50" s="82"/>
      <c r="B50" s="82"/>
      <c r="C50" s="82" t="s">
        <v>191</v>
      </c>
      <c r="D50" s="82">
        <v>3.0</v>
      </c>
      <c r="E50" s="82"/>
      <c r="F50" s="82">
        <v>3.0</v>
      </c>
      <c r="G50" s="82"/>
    </row>
    <row r="51">
      <c r="A51" s="77"/>
      <c r="B51" s="77"/>
      <c r="C51" s="77" t="s">
        <v>192</v>
      </c>
      <c r="D51" s="77">
        <v>3.0</v>
      </c>
      <c r="E51" s="77"/>
      <c r="F51" s="77">
        <v>3.0</v>
      </c>
      <c r="G51" s="77"/>
    </row>
    <row r="52">
      <c r="A52" s="82"/>
      <c r="B52" s="82"/>
      <c r="C52" s="82" t="s">
        <v>193</v>
      </c>
      <c r="D52" s="82">
        <v>3.0</v>
      </c>
      <c r="E52" s="82"/>
      <c r="F52" s="82">
        <v>3.0</v>
      </c>
      <c r="G52" s="82"/>
    </row>
    <row r="53">
      <c r="A53" s="77"/>
      <c r="B53" s="77"/>
      <c r="C53" s="77" t="s">
        <v>194</v>
      </c>
      <c r="D53" s="77">
        <v>0.0</v>
      </c>
      <c r="E53" s="77"/>
      <c r="F53" s="77">
        <v>0.0</v>
      </c>
      <c r="G53" s="77"/>
    </row>
    <row r="54">
      <c r="A54" s="82"/>
      <c r="B54" s="82"/>
      <c r="C54" s="82" t="s">
        <v>195</v>
      </c>
      <c r="D54" s="82">
        <v>3.0</v>
      </c>
      <c r="E54" s="82"/>
      <c r="F54" s="82">
        <v>2.0</v>
      </c>
      <c r="G54" s="82"/>
    </row>
    <row r="55">
      <c r="A55" s="77"/>
      <c r="B55" s="77"/>
      <c r="C55" s="77" t="s">
        <v>196</v>
      </c>
      <c r="D55" s="77">
        <v>3.0</v>
      </c>
      <c r="E55" s="77"/>
      <c r="F55" s="77">
        <v>3.0</v>
      </c>
      <c r="G55" s="77"/>
    </row>
    <row r="56">
      <c r="A56" s="82"/>
      <c r="B56" s="82"/>
      <c r="C56" s="82" t="s">
        <v>197</v>
      </c>
      <c r="D56" s="82">
        <v>2.0</v>
      </c>
      <c r="E56" s="82"/>
      <c r="F56" s="91">
        <v>0.0</v>
      </c>
      <c r="G56" s="82"/>
    </row>
    <row r="57">
      <c r="A57" s="77"/>
      <c r="B57" s="77"/>
      <c r="C57" s="77" t="s">
        <v>198</v>
      </c>
      <c r="D57" s="77">
        <v>3.0</v>
      </c>
      <c r="E57" s="77"/>
      <c r="F57" s="90">
        <v>0.0</v>
      </c>
      <c r="G57" s="77"/>
    </row>
    <row r="58">
      <c r="A58" s="82"/>
      <c r="B58" s="82"/>
      <c r="C58" s="82" t="s">
        <v>199</v>
      </c>
      <c r="D58" s="82">
        <v>3.0</v>
      </c>
      <c r="E58" s="82"/>
      <c r="F58" s="91">
        <v>0.0</v>
      </c>
      <c r="G58" s="82"/>
    </row>
    <row r="59">
      <c r="A59" s="83">
        <v>5.0</v>
      </c>
      <c r="B59" s="84" t="str">
        <f>'Sprint Goals'!B6</f>
        <v>Working MVP with FE, CM and 2 Nodes</v>
      </c>
      <c r="D59" s="77"/>
      <c r="E59" s="77"/>
      <c r="F59" s="77"/>
      <c r="G59" s="77"/>
    </row>
    <row r="60">
      <c r="A60" s="82"/>
      <c r="B60" s="82"/>
      <c r="C60" s="82" t="s">
        <v>197</v>
      </c>
      <c r="D60" s="91">
        <v>0.0</v>
      </c>
      <c r="E60" s="82"/>
      <c r="F60" s="91">
        <v>0.0</v>
      </c>
      <c r="G60" s="82"/>
    </row>
    <row r="61">
      <c r="A61" s="77"/>
      <c r="B61" s="77"/>
      <c r="C61" s="77" t="s">
        <v>198</v>
      </c>
      <c r="D61" s="77">
        <v>3.0</v>
      </c>
      <c r="E61" s="77"/>
      <c r="F61" s="90">
        <v>2.0</v>
      </c>
      <c r="G61" s="77"/>
    </row>
    <row r="62">
      <c r="A62" s="82"/>
      <c r="B62" s="82"/>
      <c r="C62" s="82" t="s">
        <v>199</v>
      </c>
      <c r="D62" s="82">
        <v>3.0</v>
      </c>
      <c r="E62" s="82"/>
      <c r="F62" s="91">
        <v>1.0</v>
      </c>
      <c r="G62" s="82"/>
    </row>
    <row r="63">
      <c r="A63" s="77"/>
      <c r="B63" s="77"/>
      <c r="C63" s="77" t="s">
        <v>200</v>
      </c>
      <c r="D63" s="90">
        <v>0.0</v>
      </c>
      <c r="E63" s="77"/>
      <c r="F63" s="90">
        <v>0.0</v>
      </c>
      <c r="G63" s="77"/>
    </row>
    <row r="64">
      <c r="A64" s="82"/>
      <c r="B64" s="82"/>
      <c r="C64" s="82" t="s">
        <v>201</v>
      </c>
      <c r="D64" s="82">
        <v>3.0</v>
      </c>
      <c r="E64" s="82"/>
      <c r="F64" s="91">
        <v>5.0</v>
      </c>
      <c r="G64" s="82"/>
    </row>
    <row r="65">
      <c r="A65" s="77"/>
      <c r="B65" s="77"/>
      <c r="C65" s="77" t="s">
        <v>202</v>
      </c>
      <c r="D65" s="90">
        <v>0.0</v>
      </c>
      <c r="E65" s="77"/>
      <c r="F65" s="90">
        <v>0.0</v>
      </c>
      <c r="G65" s="77"/>
    </row>
    <row r="66">
      <c r="A66" s="82"/>
      <c r="B66" s="82"/>
      <c r="C66" s="82" t="s">
        <v>203</v>
      </c>
      <c r="D66" s="91">
        <v>0.0</v>
      </c>
      <c r="E66" s="82"/>
      <c r="F66" s="91">
        <v>0.0</v>
      </c>
      <c r="G66" s="82"/>
    </row>
    <row r="67">
      <c r="A67" s="77"/>
      <c r="B67" s="77"/>
      <c r="C67" s="77" t="s">
        <v>204</v>
      </c>
      <c r="D67" s="90">
        <v>0.0</v>
      </c>
      <c r="E67" s="77"/>
      <c r="F67" s="90">
        <v>0.0</v>
      </c>
      <c r="G67" s="77"/>
    </row>
    <row r="68">
      <c r="A68" s="82"/>
      <c r="B68" s="82"/>
      <c r="C68" s="82" t="s">
        <v>205</v>
      </c>
      <c r="D68" s="82">
        <v>2.0</v>
      </c>
      <c r="E68" s="82"/>
      <c r="F68" s="91">
        <v>2.0</v>
      </c>
      <c r="G68" s="82"/>
    </row>
    <row r="69">
      <c r="A69" s="77"/>
      <c r="B69" s="77"/>
      <c r="C69" s="77" t="s">
        <v>206</v>
      </c>
      <c r="D69" s="77">
        <v>5.0</v>
      </c>
      <c r="E69" s="77"/>
      <c r="F69" s="90">
        <v>8.0</v>
      </c>
      <c r="G69" s="77"/>
    </row>
    <row r="70">
      <c r="A70" s="82"/>
      <c r="B70" s="82"/>
      <c r="C70" s="82" t="s">
        <v>207</v>
      </c>
      <c r="D70" s="91">
        <v>0.0</v>
      </c>
      <c r="E70" s="82"/>
      <c r="F70" s="91">
        <v>0.0</v>
      </c>
      <c r="G70" s="82"/>
    </row>
    <row r="71">
      <c r="A71" s="77"/>
      <c r="B71" s="77"/>
      <c r="C71" s="77" t="s">
        <v>208</v>
      </c>
      <c r="D71" s="90">
        <v>0.0</v>
      </c>
      <c r="E71" s="77"/>
      <c r="F71" s="90">
        <v>0.0</v>
      </c>
      <c r="G71" s="77"/>
    </row>
    <row r="72">
      <c r="A72" s="82"/>
      <c r="B72" s="82"/>
      <c r="C72" s="82" t="s">
        <v>209</v>
      </c>
      <c r="D72" s="91">
        <v>0.0</v>
      </c>
      <c r="E72" s="82"/>
      <c r="F72" s="91">
        <v>0.0</v>
      </c>
      <c r="G72" s="82"/>
    </row>
    <row r="73">
      <c r="A73" s="77"/>
      <c r="B73" s="77"/>
      <c r="C73" s="77" t="s">
        <v>210</v>
      </c>
      <c r="D73" s="77">
        <v>2.0</v>
      </c>
      <c r="E73" s="77"/>
      <c r="F73" s="90">
        <v>2.0</v>
      </c>
      <c r="G73" s="77"/>
    </row>
    <row r="74">
      <c r="A74" s="79">
        <v>6.0</v>
      </c>
      <c r="B74" s="80" t="str">
        <f>'Sprint Goals'!B7</f>
        <v>Mid-Project Release</v>
      </c>
      <c r="D74" s="82"/>
      <c r="E74" s="82"/>
      <c r="F74" s="82"/>
      <c r="G74" s="82"/>
    </row>
    <row r="75">
      <c r="A75" s="77"/>
      <c r="B75" s="77"/>
      <c r="C75" s="77" t="s">
        <v>197</v>
      </c>
      <c r="D75" s="90">
        <v>0.0</v>
      </c>
      <c r="E75" s="77"/>
      <c r="F75" s="90">
        <v>0.0</v>
      </c>
      <c r="G75" s="77"/>
    </row>
    <row r="76">
      <c r="A76" s="82"/>
      <c r="B76" s="82"/>
      <c r="C76" s="82" t="s">
        <v>203</v>
      </c>
      <c r="D76" s="82">
        <v>3.0</v>
      </c>
      <c r="E76" s="82"/>
      <c r="F76" s="91">
        <v>3.0</v>
      </c>
      <c r="G76" s="82"/>
    </row>
    <row r="77">
      <c r="A77" s="77"/>
      <c r="B77" s="77"/>
      <c r="C77" s="77" t="s">
        <v>209</v>
      </c>
      <c r="D77" s="77">
        <v>3.0</v>
      </c>
      <c r="E77" s="77"/>
      <c r="F77" s="90">
        <v>3.0</v>
      </c>
      <c r="G77" s="77"/>
    </row>
    <row r="78">
      <c r="A78" s="82"/>
      <c r="B78" s="82"/>
      <c r="C78" s="82" t="s">
        <v>204</v>
      </c>
      <c r="D78" s="91">
        <v>0.0</v>
      </c>
      <c r="E78" s="82"/>
      <c r="F78" s="91">
        <v>0.0</v>
      </c>
      <c r="G78" s="82"/>
    </row>
    <row r="79">
      <c r="A79" s="77"/>
      <c r="B79" s="77"/>
      <c r="C79" s="77" t="s">
        <v>207</v>
      </c>
      <c r="D79" s="102">
        <v>5.0</v>
      </c>
      <c r="E79" s="77"/>
      <c r="F79" s="90">
        <v>5.0</v>
      </c>
      <c r="G79" s="77"/>
    </row>
    <row r="80">
      <c r="A80" s="82"/>
      <c r="B80" s="82"/>
      <c r="C80" s="82" t="s">
        <v>208</v>
      </c>
      <c r="D80" s="91">
        <v>2.0</v>
      </c>
      <c r="E80" s="82"/>
      <c r="F80" s="91">
        <v>3.0</v>
      </c>
      <c r="G80" s="82"/>
    </row>
    <row r="81">
      <c r="A81" s="77"/>
      <c r="B81" s="77"/>
      <c r="C81" s="90" t="s">
        <v>211</v>
      </c>
      <c r="D81" s="90">
        <v>0.0</v>
      </c>
      <c r="E81" s="77"/>
      <c r="F81" s="90">
        <v>0.0</v>
      </c>
      <c r="G81" s="77"/>
    </row>
    <row r="82">
      <c r="A82" s="82"/>
      <c r="B82" s="82"/>
      <c r="C82" s="91" t="s">
        <v>212</v>
      </c>
      <c r="D82" s="91">
        <v>0.0</v>
      </c>
      <c r="E82" s="82"/>
      <c r="F82" s="91">
        <v>0.0</v>
      </c>
      <c r="G82" s="82"/>
    </row>
    <row r="83">
      <c r="A83" s="77"/>
      <c r="B83" s="77"/>
      <c r="C83" s="77" t="s">
        <v>200</v>
      </c>
      <c r="D83" s="90">
        <v>3.0</v>
      </c>
      <c r="E83" s="77"/>
      <c r="F83" s="90">
        <v>3.0</v>
      </c>
      <c r="G83" s="77"/>
    </row>
    <row r="84">
      <c r="A84" s="82"/>
      <c r="B84" s="82"/>
      <c r="C84" s="82" t="s">
        <v>202</v>
      </c>
      <c r="D84" s="91">
        <v>2.0</v>
      </c>
      <c r="E84" s="82"/>
      <c r="F84" s="91">
        <v>3.0</v>
      </c>
      <c r="G84" s="82"/>
    </row>
    <row r="85">
      <c r="A85" s="103">
        <v>7.0</v>
      </c>
      <c r="B85" s="104" t="str">
        <f>'Sprint Goals'!B8</f>
        <v>Working Backup Schedules and Mock Tasks</v>
      </c>
      <c r="D85" s="77"/>
      <c r="E85" s="77"/>
      <c r="F85" s="77"/>
      <c r="G85" s="77"/>
    </row>
    <row r="86">
      <c r="A86" s="82"/>
      <c r="B86" s="82"/>
      <c r="C86" s="91" t="s">
        <v>211</v>
      </c>
      <c r="D86" s="91">
        <v>5.0</v>
      </c>
      <c r="E86" s="82"/>
      <c r="F86" s="91">
        <v>5.0</v>
      </c>
      <c r="G86" s="82"/>
    </row>
    <row r="87">
      <c r="A87" s="77"/>
      <c r="B87" s="77"/>
      <c r="C87" s="90" t="s">
        <v>212</v>
      </c>
      <c r="D87" s="90">
        <v>5.0</v>
      </c>
      <c r="E87" s="77"/>
      <c r="F87" s="90">
        <v>3.0</v>
      </c>
      <c r="G87" s="77"/>
    </row>
    <row r="88">
      <c r="A88" s="82"/>
      <c r="B88" s="82"/>
      <c r="C88" s="91" t="s">
        <v>197</v>
      </c>
      <c r="D88" s="91">
        <v>2.0</v>
      </c>
      <c r="E88" s="82"/>
      <c r="F88" s="91">
        <v>2.0</v>
      </c>
      <c r="G88" s="82"/>
    </row>
    <row r="89">
      <c r="A89" s="77"/>
      <c r="B89" s="77"/>
      <c r="C89" s="90" t="s">
        <v>204</v>
      </c>
      <c r="D89" s="90">
        <v>3.0</v>
      </c>
      <c r="E89" s="77"/>
      <c r="F89" s="90">
        <v>1.0</v>
      </c>
      <c r="G89" s="77"/>
    </row>
    <row r="90">
      <c r="A90" s="82"/>
      <c r="B90" s="82"/>
      <c r="C90" s="91" t="s">
        <v>215</v>
      </c>
      <c r="D90" s="91">
        <v>5.0</v>
      </c>
      <c r="E90" s="82"/>
      <c r="F90" s="91">
        <v>5.0</v>
      </c>
      <c r="G90" s="82"/>
    </row>
    <row r="91">
      <c r="A91" s="103">
        <v>8.0</v>
      </c>
      <c r="B91" s="104" t="str">
        <f>'Sprint Goals'!B9</f>
        <v>Working Permissions / User Groups + Bulk Data</v>
      </c>
      <c r="E91" s="77"/>
      <c r="F91" s="77"/>
      <c r="G91" s="77"/>
    </row>
    <row r="92">
      <c r="A92" s="82"/>
      <c r="B92" s="82"/>
      <c r="C92" s="41" t="s">
        <v>216</v>
      </c>
      <c r="D92" s="41">
        <v>2.0</v>
      </c>
      <c r="E92" s="82"/>
      <c r="F92" s="91">
        <v>2.0</v>
      </c>
      <c r="G92" s="82"/>
    </row>
    <row r="93">
      <c r="A93" s="77"/>
      <c r="B93" s="77"/>
      <c r="C93" s="102" t="s">
        <v>217</v>
      </c>
      <c r="D93" s="102">
        <v>0.0</v>
      </c>
      <c r="E93" s="77"/>
      <c r="F93" s="90">
        <v>0.0</v>
      </c>
      <c r="G93" s="77"/>
    </row>
    <row r="94">
      <c r="A94" s="82"/>
      <c r="B94" s="82"/>
      <c r="C94" s="91" t="s">
        <v>218</v>
      </c>
      <c r="D94" s="91">
        <v>0.0</v>
      </c>
      <c r="E94" s="82"/>
      <c r="F94" s="91">
        <v>0.0</v>
      </c>
      <c r="G94" s="82"/>
    </row>
    <row r="95">
      <c r="A95" s="103"/>
      <c r="B95" s="104"/>
      <c r="C95" s="102" t="s">
        <v>219</v>
      </c>
      <c r="D95" s="90">
        <v>5.0</v>
      </c>
      <c r="E95" s="77"/>
      <c r="F95" s="90">
        <v>2.0</v>
      </c>
      <c r="G95" s="77"/>
    </row>
    <row r="96">
      <c r="A96" s="92"/>
      <c r="B96" s="93"/>
      <c r="C96" s="91" t="s">
        <v>220</v>
      </c>
      <c r="D96" s="91">
        <v>0.0</v>
      </c>
      <c r="E96" s="82"/>
      <c r="F96" s="91">
        <v>0.0</v>
      </c>
      <c r="G96" s="82"/>
    </row>
    <row r="97">
      <c r="A97" s="103"/>
      <c r="B97" s="104"/>
      <c r="C97" s="90" t="s">
        <v>221</v>
      </c>
      <c r="D97" s="90">
        <v>0.0</v>
      </c>
      <c r="E97" s="77"/>
      <c r="F97" s="90">
        <v>0.0</v>
      </c>
      <c r="G97" s="77"/>
    </row>
    <row r="98">
      <c r="A98" s="92">
        <v>9.0</v>
      </c>
      <c r="B98" s="93" t="str">
        <f>'Sprint Goals'!B10</f>
        <v>Advanced Cluster Management</v>
      </c>
      <c r="D98" s="91"/>
      <c r="E98" s="82"/>
      <c r="F98" s="82"/>
      <c r="G98" s="82"/>
    </row>
    <row r="99">
      <c r="A99" s="103"/>
      <c r="B99" s="104"/>
      <c r="C99" s="90" t="s">
        <v>221</v>
      </c>
      <c r="D99" s="90">
        <v>3.0</v>
      </c>
      <c r="E99" s="77"/>
      <c r="F99" s="77"/>
      <c r="G99" s="77"/>
    </row>
    <row r="100">
      <c r="A100" s="92"/>
      <c r="B100" s="93"/>
      <c r="C100" s="91" t="s">
        <v>217</v>
      </c>
      <c r="D100" s="91">
        <v>5.0</v>
      </c>
      <c r="E100" s="82"/>
      <c r="F100" s="82"/>
      <c r="G100" s="82"/>
    </row>
    <row r="101">
      <c r="A101" s="103"/>
      <c r="B101" s="104"/>
      <c r="C101" s="90" t="s">
        <v>220</v>
      </c>
      <c r="D101" s="90">
        <v>5.0</v>
      </c>
      <c r="E101" s="77"/>
      <c r="F101" s="77"/>
      <c r="G101" s="77"/>
    </row>
    <row r="102">
      <c r="A102" s="92"/>
      <c r="B102" s="93"/>
      <c r="C102" s="91" t="s">
        <v>218</v>
      </c>
      <c r="D102" s="91">
        <v>2.0</v>
      </c>
      <c r="E102" s="82"/>
      <c r="F102" s="82"/>
      <c r="G102" s="82"/>
    </row>
    <row r="103">
      <c r="A103" s="103"/>
      <c r="B103" s="105"/>
      <c r="C103" s="90" t="s">
        <v>222</v>
      </c>
      <c r="D103" s="90">
        <v>5.0</v>
      </c>
      <c r="E103" s="77"/>
      <c r="F103" s="77"/>
      <c r="G103" s="77"/>
    </row>
    <row r="104">
      <c r="A104" s="92">
        <v>10.0</v>
      </c>
      <c r="B104" s="93" t="str">
        <f>'Sprint Goals'!B11</f>
        <v>Advanced Cluster Management Pt2</v>
      </c>
      <c r="D104" s="91"/>
      <c r="E104" s="82"/>
      <c r="F104" s="82"/>
      <c r="G104" s="82"/>
    </row>
    <row r="105">
      <c r="A105" s="103"/>
      <c r="B105" s="106" t="s">
        <v>223</v>
      </c>
      <c r="C105" s="90" t="s">
        <v>224</v>
      </c>
      <c r="D105" s="90">
        <v>5.0</v>
      </c>
      <c r="E105" s="77"/>
      <c r="F105" s="77"/>
      <c r="G105" s="77"/>
    </row>
    <row r="106">
      <c r="A106" s="92"/>
      <c r="B106" s="107" t="s">
        <v>225</v>
      </c>
      <c r="C106" s="91" t="s">
        <v>226</v>
      </c>
      <c r="D106" s="91">
        <v>5.0</v>
      </c>
      <c r="E106" s="82"/>
      <c r="F106" s="82"/>
      <c r="G106" s="82"/>
    </row>
    <row r="107">
      <c r="A107" s="103"/>
      <c r="B107" s="106" t="s">
        <v>227</v>
      </c>
      <c r="C107" s="90" t="s">
        <v>228</v>
      </c>
      <c r="D107" s="90">
        <v>3.0</v>
      </c>
      <c r="E107" s="77"/>
      <c r="F107" s="77"/>
      <c r="G107" s="77"/>
    </row>
    <row r="108">
      <c r="A108" s="92">
        <v>11.0</v>
      </c>
      <c r="B108" s="93" t="str">
        <f>'Sprint Goals'!B12</f>
        <v>Groups/Permissions + Failover</v>
      </c>
      <c r="D108" s="91"/>
      <c r="E108" s="82"/>
      <c r="F108" s="82"/>
      <c r="G108" s="82"/>
    </row>
    <row r="109">
      <c r="A109" s="103"/>
      <c r="B109" s="106" t="s">
        <v>229</v>
      </c>
      <c r="C109" s="90" t="s">
        <v>230</v>
      </c>
      <c r="D109" s="90">
        <v>5.0</v>
      </c>
    </row>
    <row r="110">
      <c r="A110" s="92"/>
      <c r="B110" s="107" t="s">
        <v>231</v>
      </c>
      <c r="C110" s="91" t="s">
        <v>232</v>
      </c>
      <c r="D110" s="91">
        <v>3.0</v>
      </c>
      <c r="E110" s="82"/>
      <c r="F110" s="82"/>
      <c r="G110" s="82"/>
    </row>
    <row r="111">
      <c r="A111" s="103"/>
      <c r="B111" s="106" t="s">
        <v>233</v>
      </c>
      <c r="C111" s="90" t="s">
        <v>234</v>
      </c>
      <c r="D111" s="90">
        <v>5.0</v>
      </c>
      <c r="E111" s="77"/>
      <c r="F111" s="77"/>
      <c r="G111" s="77"/>
    </row>
    <row r="112">
      <c r="C112" s="41" t="s">
        <v>235</v>
      </c>
      <c r="D112" s="41">
        <v>5.0</v>
      </c>
    </row>
    <row r="113">
      <c r="A113" s="103">
        <v>12.0</v>
      </c>
      <c r="B113" s="104" t="str">
        <f>'Sprint Goals'!B13</f>
        <v>Polishing + Metrics</v>
      </c>
      <c r="D113" s="90"/>
      <c r="E113" s="77"/>
      <c r="F113" s="77"/>
      <c r="G113" s="77"/>
    </row>
    <row r="114">
      <c r="A114" s="92"/>
      <c r="B114" s="93"/>
      <c r="C114" s="91" t="s">
        <v>236</v>
      </c>
      <c r="D114" s="91">
        <v>3.0</v>
      </c>
      <c r="E114" s="82"/>
      <c r="F114" s="82"/>
      <c r="G114" s="82"/>
    </row>
    <row r="115">
      <c r="A115" s="103"/>
      <c r="B115" s="104"/>
      <c r="C115" s="90" t="s">
        <v>237</v>
      </c>
      <c r="D115" s="90">
        <v>5.0</v>
      </c>
      <c r="E115" s="77"/>
      <c r="F115" s="77"/>
      <c r="G115" s="77"/>
    </row>
    <row r="116">
      <c r="A116" s="92"/>
      <c r="B116" s="93"/>
      <c r="C116" s="91" t="s">
        <v>238</v>
      </c>
      <c r="D116" s="91">
        <v>8.0</v>
      </c>
      <c r="E116" s="82"/>
      <c r="F116" s="82"/>
      <c r="G116" s="82"/>
    </row>
    <row r="117">
      <c r="A117" s="103">
        <v>13.0</v>
      </c>
      <c r="B117" s="104" t="str">
        <f>'Sprint Goals'!B14</f>
        <v>QA/Fixing</v>
      </c>
      <c r="D117" s="90"/>
      <c r="E117" s="77"/>
      <c r="F117" s="77"/>
      <c r="G117" s="77"/>
    </row>
    <row r="118">
      <c r="A118" s="92"/>
      <c r="B118" s="93"/>
      <c r="C118" s="91" t="s">
        <v>239</v>
      </c>
      <c r="D118" s="91">
        <v>13.0</v>
      </c>
      <c r="E118" s="82"/>
      <c r="F118" s="82"/>
      <c r="G118" s="82"/>
    </row>
    <row r="119">
      <c r="A119" s="103">
        <v>14.0</v>
      </c>
      <c r="B119" s="104" t="str">
        <f>'Sprint Goals'!B15</f>
        <v>Final Project Release</v>
      </c>
      <c r="D119" s="90"/>
      <c r="E119" s="77"/>
      <c r="F119" s="77"/>
      <c r="G119" s="77"/>
    </row>
    <row r="120">
      <c r="A120" s="92"/>
      <c r="B120" s="93"/>
      <c r="D120" s="91"/>
      <c r="E120" s="82"/>
      <c r="F120" s="82"/>
      <c r="G120" s="82"/>
    </row>
    <row r="121">
      <c r="A121" s="77"/>
      <c r="B121" s="77"/>
      <c r="C121" s="90"/>
      <c r="D121" s="90"/>
      <c r="E121" s="77"/>
      <c r="F121" s="77"/>
      <c r="G121" s="77"/>
    </row>
    <row r="122">
      <c r="A122" s="82"/>
      <c r="B122" s="82"/>
      <c r="C122" s="91"/>
      <c r="D122" s="91"/>
      <c r="E122" s="82"/>
      <c r="F122" s="82"/>
      <c r="G122" s="82"/>
    </row>
    <row r="123">
      <c r="A123" s="77"/>
      <c r="B123" s="77"/>
      <c r="C123" s="90"/>
      <c r="D123" s="90"/>
      <c r="E123" s="77"/>
      <c r="F123" s="77"/>
      <c r="G123" s="77"/>
    </row>
    <row r="124">
      <c r="A124" s="82"/>
      <c r="B124" s="82"/>
      <c r="C124" s="91"/>
      <c r="D124" s="91"/>
      <c r="E124" s="82"/>
      <c r="F124" s="82"/>
      <c r="G124" s="82"/>
    </row>
    <row r="125">
      <c r="A125" s="77"/>
      <c r="B125" s="77"/>
      <c r="C125" s="90"/>
      <c r="D125" s="90"/>
      <c r="E125" s="77"/>
      <c r="F125" s="77"/>
      <c r="G125" s="77"/>
    </row>
    <row r="126">
      <c r="A126" s="82"/>
      <c r="B126" s="82"/>
      <c r="C126" s="91"/>
      <c r="D126" s="91"/>
      <c r="E126" s="82"/>
      <c r="F126" s="82"/>
      <c r="G126" s="82"/>
    </row>
    <row r="127">
      <c r="A127" s="77"/>
      <c r="B127" s="77"/>
      <c r="C127" s="90"/>
      <c r="D127" s="90"/>
      <c r="E127" s="77"/>
      <c r="F127" s="77"/>
      <c r="G127" s="77"/>
    </row>
    <row r="128">
      <c r="A128" s="82"/>
      <c r="B128" s="82"/>
      <c r="C128" s="91"/>
      <c r="D128" s="91"/>
      <c r="E128" s="82"/>
      <c r="F128" s="82"/>
      <c r="G128" s="82"/>
    </row>
    <row r="129">
      <c r="A129" s="77"/>
      <c r="B129" s="77"/>
      <c r="C129" s="90"/>
      <c r="D129" s="90"/>
      <c r="E129" s="77"/>
      <c r="F129" s="77"/>
      <c r="G129" s="77"/>
    </row>
    <row r="130">
      <c r="A130" s="82"/>
      <c r="B130" s="82"/>
      <c r="C130" s="91"/>
      <c r="D130" s="91"/>
      <c r="E130" s="82"/>
      <c r="F130" s="82"/>
      <c r="G130" s="82"/>
    </row>
    <row r="131">
      <c r="A131" s="77"/>
      <c r="B131" s="77"/>
      <c r="C131" s="90"/>
      <c r="D131" s="90"/>
      <c r="E131" s="77"/>
      <c r="F131" s="77"/>
      <c r="G131" s="77"/>
    </row>
    <row r="132">
      <c r="A132" s="82"/>
      <c r="B132" s="82"/>
      <c r="C132" s="91"/>
      <c r="D132" s="91"/>
      <c r="E132" s="82"/>
      <c r="F132" s="82"/>
      <c r="G132" s="82"/>
    </row>
    <row r="133">
      <c r="A133" s="77"/>
      <c r="B133" s="77"/>
      <c r="C133" s="90"/>
      <c r="D133" s="90"/>
      <c r="E133" s="77"/>
      <c r="F133" s="77"/>
      <c r="G133" s="77"/>
    </row>
  </sheetData>
  <mergeCells count="29">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98:C98"/>
    <mergeCell ref="B104:C104"/>
    <mergeCell ref="B108:C108"/>
    <mergeCell ref="B113:C113"/>
    <mergeCell ref="B117:C117"/>
    <mergeCell ref="B119:C119"/>
    <mergeCell ref="B120:C120"/>
    <mergeCell ref="B23:C23"/>
    <mergeCell ref="B27:C27"/>
    <mergeCell ref="B30:C30"/>
    <mergeCell ref="B38:C38"/>
    <mergeCell ref="B59:C59"/>
    <mergeCell ref="B74:C74"/>
    <mergeCell ref="B85:C85"/>
  </mergeCells>
  <hyperlinks>
    <hyperlink r:id="rId1" ref="B105"/>
    <hyperlink r:id="rId2" ref="B106"/>
    <hyperlink r:id="rId3" ref="B107"/>
    <hyperlink r:id="rId4" ref="B109"/>
    <hyperlink r:id="rId5" ref="B110"/>
    <hyperlink r:id="rId6" ref="B111"/>
  </hyperlinks>
  <printOptions gridLines="1" horizontalCentered="1"/>
  <pageMargins bottom="0.75" footer="0.0" header="0.0" left="0.7" right="0.7" top="0.75"/>
  <pageSetup fitToHeight="0" paperSize="9" cellComments="atEnd" orientation="landscape" pageOrder="overThenDown"/>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5.5"/>
  </cols>
  <sheetData>
    <row r="1">
      <c r="A1" s="9" t="s">
        <v>214</v>
      </c>
    </row>
    <row r="2">
      <c r="A2">
        <f>'Final Project Release plan'!D5</f>
        <v>210</v>
      </c>
      <c r="B2">
        <f>'Velocity Chart'!B5</f>
        <v>16.75</v>
      </c>
    </row>
    <row r="3">
      <c r="A3">
        <f t="shared" ref="A3:A12" si="1">A2-B2</f>
        <v>193.25</v>
      </c>
      <c r="B3">
        <f>'Velocity Chart'!B6</f>
        <v>17.4</v>
      </c>
    </row>
    <row r="4">
      <c r="A4">
        <f t="shared" si="1"/>
        <v>175.85</v>
      </c>
      <c r="B4">
        <f>'Velocity Chart'!B7</f>
        <v>17.16666667</v>
      </c>
    </row>
    <row r="5">
      <c r="A5">
        <f t="shared" si="1"/>
        <v>158.6833333</v>
      </c>
      <c r="B5">
        <f>'Velocity Chart'!B8</f>
        <v>15.28571429</v>
      </c>
    </row>
    <row r="6">
      <c r="A6">
        <f t="shared" si="1"/>
        <v>143.397619</v>
      </c>
      <c r="B6">
        <f>'Velocity Chart'!B9</f>
        <v>15.28571429</v>
      </c>
    </row>
    <row r="7">
      <c r="A7">
        <f t="shared" si="1"/>
        <v>128.1119048</v>
      </c>
      <c r="B7">
        <f>'Velocity Chart'!B10</f>
        <v>15.28571429</v>
      </c>
    </row>
    <row r="8">
      <c r="A8">
        <f t="shared" si="1"/>
        <v>112.8261905</v>
      </c>
      <c r="B8">
        <f>'Velocity Chart'!B11</f>
        <v>15.28571429</v>
      </c>
    </row>
    <row r="9">
      <c r="A9">
        <f t="shared" si="1"/>
        <v>97.54047619</v>
      </c>
      <c r="B9">
        <f>'Velocity Chart'!B12</f>
        <v>15.28571429</v>
      </c>
    </row>
    <row r="10">
      <c r="A10">
        <f t="shared" si="1"/>
        <v>82.2547619</v>
      </c>
      <c r="B10">
        <f>'Velocity Chart'!B13</f>
        <v>15.28571429</v>
      </c>
    </row>
    <row r="11">
      <c r="A11">
        <f t="shared" si="1"/>
        <v>66.96904762</v>
      </c>
      <c r="B11">
        <f>'Velocity Chart'!B14</f>
        <v>15.28571429</v>
      </c>
    </row>
    <row r="12">
      <c r="A12">
        <f t="shared" si="1"/>
        <v>51.68333333</v>
      </c>
      <c r="B12">
        <f>'Velocity Chart'!B15</f>
        <v>15.28571429</v>
      </c>
    </row>
    <row r="13">
      <c r="B13" t="str">
        <f>'Velocity Chart'!B16</f>
        <v/>
      </c>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08" t="s">
        <v>60</v>
      </c>
      <c r="B1" s="49" t="s">
        <v>240</v>
      </c>
      <c r="C1" s="49" t="s">
        <v>241</v>
      </c>
      <c r="D1" s="109" t="s">
        <v>242</v>
      </c>
    </row>
    <row r="2">
      <c r="A2" s="3"/>
      <c r="B2" s="2" t="s">
        <v>243</v>
      </c>
      <c r="C2" s="2" t="s">
        <v>244</v>
      </c>
      <c r="D2" s="2" t="s">
        <v>245</v>
      </c>
    </row>
    <row r="3">
      <c r="A3" s="3"/>
      <c r="B3" s="2" t="s">
        <v>246</v>
      </c>
      <c r="C3" s="2" t="s">
        <v>247</v>
      </c>
      <c r="D3" s="2" t="s">
        <v>248</v>
      </c>
    </row>
    <row r="4">
      <c r="A4" s="3"/>
      <c r="B4" s="2" t="s">
        <v>249</v>
      </c>
      <c r="C4" s="2" t="s">
        <v>250</v>
      </c>
      <c r="D4" s="2" t="s">
        <v>251</v>
      </c>
    </row>
    <row r="5">
      <c r="A5" s="3"/>
      <c r="B5" s="2" t="s">
        <v>252</v>
      </c>
      <c r="C5" s="2" t="s">
        <v>253</v>
      </c>
      <c r="D5" s="2" t="s">
        <v>254</v>
      </c>
    </row>
    <row r="6">
      <c r="A6" s="3"/>
      <c r="B6" s="2" t="s">
        <v>255</v>
      </c>
      <c r="C6" s="2" t="s">
        <v>256</v>
      </c>
      <c r="D6" s="2" t="s">
        <v>257</v>
      </c>
    </row>
    <row r="7">
      <c r="A7" s="3"/>
      <c r="B7" s="2" t="s">
        <v>258</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259</v>
      </c>
      <c r="B1" s="4" t="s">
        <v>260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261</v>
      </c>
      <c r="C1" s="4" t="s">
        <v>262</v>
      </c>
      <c r="D1" s="4" t="s">
        <v>263</v>
      </c>
      <c r="E1" s="4" t="s">
        <v>264</v>
      </c>
      <c r="F1" s="4" t="s">
        <v>67</v>
      </c>
    </row>
    <row r="2">
      <c r="A2" s="2">
        <v>1.0</v>
      </c>
      <c r="B2" s="2" t="s">
        <v>265</v>
      </c>
      <c r="C2" s="2" t="s">
        <v>266</v>
      </c>
      <c r="D2" s="2" t="s">
        <v>267</v>
      </c>
      <c r="E2" s="2" t="s">
        <v>268</v>
      </c>
      <c r="F2" s="2" t="s">
        <v>269</v>
      </c>
    </row>
    <row r="3">
      <c r="A3" s="2">
        <v>2.0</v>
      </c>
      <c r="B3" s="2" t="s">
        <v>265</v>
      </c>
      <c r="C3" s="2" t="s">
        <v>270</v>
      </c>
      <c r="D3" s="2" t="s">
        <v>271</v>
      </c>
      <c r="E3" s="2" t="s">
        <v>268</v>
      </c>
      <c r="F3" s="2" t="s">
        <v>272</v>
      </c>
    </row>
    <row r="4">
      <c r="A4" s="2">
        <v>3.0</v>
      </c>
      <c r="B4" s="2" t="s">
        <v>265</v>
      </c>
      <c r="C4" s="2" t="s">
        <v>273</v>
      </c>
      <c r="D4" s="2" t="s">
        <v>274</v>
      </c>
      <c r="E4" s="2" t="s">
        <v>268</v>
      </c>
      <c r="F4" s="3"/>
    </row>
    <row r="5">
      <c r="A5" s="2">
        <v>4.0</v>
      </c>
      <c r="B5" s="2" t="s">
        <v>265</v>
      </c>
      <c r="C5" s="2" t="s">
        <v>275</v>
      </c>
      <c r="D5" s="2" t="s">
        <v>276</v>
      </c>
      <c r="E5" s="2" t="s">
        <v>277</v>
      </c>
      <c r="F5" s="3"/>
    </row>
    <row r="6">
      <c r="A6" s="2">
        <v>5.0</v>
      </c>
      <c r="B6" s="2" t="s">
        <v>265</v>
      </c>
      <c r="C6" s="2" t="s">
        <v>278</v>
      </c>
      <c r="D6" s="2" t="s">
        <v>279</v>
      </c>
      <c r="E6" s="2" t="s">
        <v>268</v>
      </c>
      <c r="F6" s="3"/>
    </row>
    <row r="7">
      <c r="A7" s="2">
        <v>6.0</v>
      </c>
      <c r="B7" s="2" t="s">
        <v>265</v>
      </c>
      <c r="C7" s="2" t="s">
        <v>280</v>
      </c>
      <c r="D7" s="2" t="s">
        <v>281</v>
      </c>
      <c r="E7" s="2" t="s">
        <v>268</v>
      </c>
      <c r="F7" s="3"/>
    </row>
    <row r="8">
      <c r="A8" s="2">
        <v>7.0</v>
      </c>
      <c r="B8" s="2" t="s">
        <v>265</v>
      </c>
      <c r="C8" s="2" t="s">
        <v>282</v>
      </c>
      <c r="D8" s="2" t="s">
        <v>283</v>
      </c>
      <c r="E8" s="2" t="s">
        <v>268</v>
      </c>
      <c r="F8" s="3"/>
    </row>
    <row r="9">
      <c r="A9" s="2">
        <v>8.0</v>
      </c>
      <c r="B9" s="2" t="s">
        <v>265</v>
      </c>
      <c r="C9" s="2" t="s">
        <v>284</v>
      </c>
      <c r="D9" s="2" t="s">
        <v>285</v>
      </c>
      <c r="E9" s="2" t="s">
        <v>268</v>
      </c>
      <c r="F9" s="3"/>
    </row>
    <row r="10">
      <c r="A10" s="2">
        <v>9.0</v>
      </c>
      <c r="B10" s="2" t="s">
        <v>265</v>
      </c>
      <c r="C10" s="2" t="s">
        <v>286</v>
      </c>
      <c r="D10" s="2" t="s">
        <v>287</v>
      </c>
      <c r="E10" s="2" t="s">
        <v>268</v>
      </c>
      <c r="F10" s="3"/>
    </row>
    <row r="11">
      <c r="A11" s="2">
        <v>10.0</v>
      </c>
      <c r="B11" s="2" t="s">
        <v>265</v>
      </c>
      <c r="C11" s="2" t="s">
        <v>288</v>
      </c>
      <c r="D11" s="2" t="s">
        <v>289</v>
      </c>
      <c r="E11" s="2" t="s">
        <v>268</v>
      </c>
      <c r="F11" s="3"/>
    </row>
    <row r="12">
      <c r="A12" s="2">
        <v>11.0</v>
      </c>
      <c r="B12" s="2" t="s">
        <v>265</v>
      </c>
      <c r="C12" s="2" t="s">
        <v>290</v>
      </c>
      <c r="D12" s="2" t="s">
        <v>291</v>
      </c>
      <c r="E12" s="2" t="s">
        <v>268</v>
      </c>
      <c r="F12" s="3"/>
    </row>
    <row r="13">
      <c r="A13" s="2">
        <v>12.0</v>
      </c>
      <c r="B13" s="2" t="s">
        <v>265</v>
      </c>
      <c r="C13" s="2" t="s">
        <v>292</v>
      </c>
      <c r="D13" s="2" t="s">
        <v>293</v>
      </c>
      <c r="E13" s="2" t="s">
        <v>268</v>
      </c>
      <c r="F13" s="3"/>
    </row>
    <row r="14">
      <c r="A14" s="2">
        <v>13.0</v>
      </c>
      <c r="B14" s="2" t="s">
        <v>265</v>
      </c>
      <c r="C14" s="2" t="s">
        <v>294</v>
      </c>
      <c r="D14" s="2" t="s">
        <v>295</v>
      </c>
      <c r="E14" s="2" t="s">
        <v>277</v>
      </c>
      <c r="F14" s="3"/>
    </row>
    <row r="15">
      <c r="A15" s="2">
        <v>14.0</v>
      </c>
      <c r="B15" s="2" t="s">
        <v>296</v>
      </c>
      <c r="C15" s="2" t="s">
        <v>297</v>
      </c>
      <c r="D15" s="2" t="s">
        <v>298</v>
      </c>
      <c r="E15" s="2" t="s">
        <v>299</v>
      </c>
      <c r="F15" s="3"/>
    </row>
    <row r="16">
      <c r="A16" s="2">
        <v>15.0</v>
      </c>
      <c r="B16" s="2" t="s">
        <v>296</v>
      </c>
      <c r="C16" s="2" t="s">
        <v>300</v>
      </c>
      <c r="D16" s="2" t="s">
        <v>301</v>
      </c>
      <c r="E16" s="2" t="s">
        <v>302</v>
      </c>
      <c r="F16" s="3"/>
    </row>
    <row r="17">
      <c r="A17" s="2">
        <v>16.0</v>
      </c>
      <c r="B17" s="2" t="s">
        <v>296</v>
      </c>
      <c r="C17" s="2" t="s">
        <v>303</v>
      </c>
      <c r="D17" s="2" t="s">
        <v>304</v>
      </c>
      <c r="E17" s="2" t="s">
        <v>305</v>
      </c>
      <c r="F17" s="3"/>
    </row>
    <row r="18">
      <c r="A18" s="2">
        <v>17.0</v>
      </c>
      <c r="B18" s="2" t="s">
        <v>296</v>
      </c>
      <c r="C18" s="2" t="s">
        <v>306</v>
      </c>
      <c r="D18" s="2" t="s">
        <v>307</v>
      </c>
      <c r="E18" s="2" t="s">
        <v>277</v>
      </c>
      <c r="F18" s="3"/>
    </row>
    <row r="19">
      <c r="A19" s="2">
        <v>18.0</v>
      </c>
      <c r="B19" s="9" t="s">
        <v>296</v>
      </c>
      <c r="C19" s="9" t="s">
        <v>308</v>
      </c>
      <c r="D19" s="9" t="s">
        <v>309</v>
      </c>
      <c r="E19" s="9" t="s">
        <v>277</v>
      </c>
      <c r="F19" s="3"/>
    </row>
    <row r="20">
      <c r="A20" s="2">
        <v>19.0</v>
      </c>
      <c r="B20" s="2" t="s">
        <v>296</v>
      </c>
      <c r="C20" s="2" t="s">
        <v>310</v>
      </c>
      <c r="D20" s="2" t="s">
        <v>311</v>
      </c>
      <c r="E20" s="2" t="s">
        <v>277</v>
      </c>
      <c r="F20" s="3"/>
    </row>
    <row r="21">
      <c r="A21" s="2">
        <v>20.0</v>
      </c>
      <c r="B21" s="2" t="s">
        <v>296</v>
      </c>
      <c r="C21" s="2" t="s">
        <v>312</v>
      </c>
      <c r="D21" s="2" t="s">
        <v>298</v>
      </c>
      <c r="E21" s="2" t="s">
        <v>299</v>
      </c>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0" t="str">
        <f>'Project Team'!A1</f>
        <v>Last Name</v>
      </c>
      <c r="B1" s="110" t="str">
        <f>'Project Team'!B1</f>
        <v>First Name</v>
      </c>
      <c r="C1" s="111" t="s">
        <v>313</v>
      </c>
      <c r="D1" s="112"/>
      <c r="E1" s="113"/>
      <c r="F1" s="114"/>
      <c r="G1" s="115"/>
      <c r="H1" s="115"/>
    </row>
    <row r="2">
      <c r="A2" s="116" t="str">
        <f>'Project Team'!A2</f>
        <v>Wysokinska</v>
      </c>
      <c r="B2" s="116" t="str">
        <f>'Project Team'!B2</f>
        <v>Xemena</v>
      </c>
      <c r="C2" s="117"/>
      <c r="D2" s="118"/>
      <c r="E2" s="119">
        <f>average(C2:C10)</f>
        <v>0</v>
      </c>
      <c r="F2" s="120" t="str">
        <f>if(stdev(C2:C6) &gt; 0,"NOK", "OK")</f>
        <v>#DIV/0!</v>
      </c>
      <c r="G2" s="121"/>
      <c r="H2" s="121"/>
    </row>
    <row r="3">
      <c r="A3" s="122" t="str">
        <f>'Project Team'!A3</f>
        <v>Ostrizki</v>
      </c>
      <c r="B3" s="122" t="str">
        <f>'Project Team'!B3</f>
        <v>Jan</v>
      </c>
      <c r="C3" s="117"/>
      <c r="D3" s="123"/>
      <c r="G3" s="124"/>
      <c r="H3" s="124"/>
    </row>
    <row r="4">
      <c r="A4" s="116" t="str">
        <f>'Project Team'!A4</f>
        <v>Raju</v>
      </c>
      <c r="B4" s="116" t="str">
        <f>'Project Team'!B4</f>
        <v>Robin Jose </v>
      </c>
      <c r="C4" s="117"/>
      <c r="D4" s="125" t="s">
        <v>314</v>
      </c>
      <c r="G4" s="121"/>
      <c r="H4" s="121"/>
    </row>
    <row r="5">
      <c r="A5" s="122" t="str">
        <f>'Project Team'!A5</f>
        <v>Nogu</v>
      </c>
      <c r="B5" s="122" t="str">
        <f>'Project Team'!B5</f>
        <v>Ervin</v>
      </c>
      <c r="C5" s="117"/>
      <c r="D5" s="126"/>
      <c r="E5" s="126"/>
      <c r="F5" s="126"/>
      <c r="G5" s="124"/>
      <c r="H5" s="124"/>
    </row>
    <row r="6">
      <c r="A6" s="116" t="str">
        <f>'Project Team'!A6</f>
        <v>Krüger</v>
      </c>
      <c r="B6" s="116" t="str">
        <f>'Project Team'!B6</f>
        <v>Landolf</v>
      </c>
      <c r="C6" s="117">
        <v>0.0</v>
      </c>
      <c r="D6" s="127"/>
      <c r="E6" s="128">
        <v>0.0</v>
      </c>
      <c r="F6" s="129" t="s">
        <v>315</v>
      </c>
      <c r="G6" s="121"/>
      <c r="H6" s="121"/>
    </row>
    <row r="7">
      <c r="A7" s="122" t="str">
        <f>'Project Team'!A7</f>
        <v>Tröger</v>
      </c>
      <c r="B7" s="122" t="str">
        <f>'Project Team'!B7</f>
        <v>Nicolas</v>
      </c>
      <c r="C7" s="102">
        <v>0.0</v>
      </c>
      <c r="D7" s="126"/>
      <c r="E7" s="128">
        <v>1.0</v>
      </c>
      <c r="F7" s="129" t="s">
        <v>316</v>
      </c>
      <c r="G7" s="124"/>
      <c r="H7" s="124"/>
    </row>
    <row r="8">
      <c r="A8" s="116" t="str">
        <f t="shared" ref="A8:B8" si="1">#REF!</f>
        <v>#REF!</v>
      </c>
      <c r="B8" s="116" t="str">
        <f t="shared" si="1"/>
        <v>#REF!</v>
      </c>
      <c r="C8" s="130"/>
      <c r="D8" s="127"/>
      <c r="E8" s="128">
        <v>2.0</v>
      </c>
      <c r="F8" s="129" t="s">
        <v>317</v>
      </c>
      <c r="G8" s="121"/>
      <c r="H8" s="121"/>
    </row>
    <row r="9">
      <c r="A9" s="122" t="str">
        <f>'Project Team'!A8</f>
        <v>Killer</v>
      </c>
      <c r="B9" s="122" t="str">
        <f>'Project Team'!B8</f>
        <v>Hans</v>
      </c>
      <c r="C9" s="117">
        <v>0.0</v>
      </c>
      <c r="D9" s="126"/>
      <c r="E9" s="128">
        <v>3.0</v>
      </c>
      <c r="F9" s="129" t="s">
        <v>318</v>
      </c>
      <c r="G9" s="124"/>
      <c r="H9" s="124"/>
    </row>
    <row r="10">
      <c r="A10" s="116" t="str">
        <f>'Project Team'!A9</f>
        <v>Schulze</v>
      </c>
      <c r="B10" s="116" t="str">
        <f>'Project Team'!B9</f>
        <v>Levin</v>
      </c>
      <c r="C10" s="117"/>
      <c r="D10" s="127"/>
      <c r="E10" s="128">
        <v>5.0</v>
      </c>
      <c r="F10" s="129" t="s">
        <v>319</v>
      </c>
      <c r="G10" s="121"/>
      <c r="H10" s="121"/>
    </row>
    <row r="11">
      <c r="A11" s="122"/>
      <c r="B11" s="122"/>
      <c r="C11" s="131"/>
      <c r="D11" s="126"/>
      <c r="E11" s="128">
        <v>8.0</v>
      </c>
      <c r="F11" s="129" t="s">
        <v>320</v>
      </c>
      <c r="G11" s="124"/>
      <c r="H11" s="124"/>
    </row>
    <row r="12">
      <c r="A12" s="116"/>
      <c r="B12" s="116"/>
      <c r="C12" s="131"/>
      <c r="D12" s="127"/>
      <c r="E12" s="128">
        <v>13.0</v>
      </c>
      <c r="F12" s="129" t="s">
        <v>321</v>
      </c>
      <c r="G12" s="121"/>
      <c r="H12" s="121"/>
    </row>
    <row r="13">
      <c r="A13" s="122"/>
      <c r="B13" s="122"/>
      <c r="C13" s="126"/>
      <c r="D13" s="126"/>
      <c r="E13" s="126"/>
      <c r="F13" s="126"/>
      <c r="G13" s="124"/>
      <c r="H13" s="124"/>
    </row>
    <row r="14">
      <c r="A14" s="132" t="s">
        <v>322</v>
      </c>
      <c r="B14" s="133"/>
      <c r="C14" s="133"/>
      <c r="D14" s="133"/>
      <c r="E14" s="133"/>
      <c r="F14" s="133"/>
      <c r="G14" s="133"/>
      <c r="H14" s="133"/>
    </row>
    <row r="15">
      <c r="A15" s="58"/>
      <c r="B15" s="58"/>
      <c r="C15" s="58"/>
      <c r="D15" s="58"/>
      <c r="E15" s="58"/>
      <c r="F15" s="58"/>
      <c r="G15" s="58"/>
      <c r="H15" s="58"/>
    </row>
    <row r="16">
      <c r="A16" s="134" t="s">
        <v>323</v>
      </c>
      <c r="B16" s="135"/>
      <c r="C16" s="135"/>
      <c r="D16" s="135"/>
      <c r="E16" s="135"/>
      <c r="F16" s="135"/>
      <c r="G16" s="135"/>
      <c r="H16" s="135"/>
    </row>
    <row r="17">
      <c r="A17" s="136" t="s">
        <v>324</v>
      </c>
      <c r="B17" s="58"/>
      <c r="C17" s="58"/>
      <c r="D17" s="58"/>
      <c r="E17" s="58"/>
      <c r="F17" s="58"/>
      <c r="G17" s="58"/>
      <c r="H17" s="58"/>
    </row>
    <row r="18">
      <c r="A18" s="134" t="s">
        <v>325</v>
      </c>
      <c r="B18" s="135"/>
      <c r="C18" s="135"/>
      <c r="D18" s="135"/>
      <c r="E18" s="135"/>
      <c r="F18" s="135"/>
      <c r="G18" s="135"/>
      <c r="H18" s="135"/>
    </row>
    <row r="19">
      <c r="A19" s="58"/>
      <c r="B19" s="58"/>
      <c r="C19" s="58"/>
      <c r="D19" s="58"/>
      <c r="E19" s="58"/>
      <c r="F19" s="58"/>
      <c r="G19" s="58"/>
      <c r="H19" s="58"/>
    </row>
    <row r="20">
      <c r="A20" s="135"/>
      <c r="B20" s="135"/>
      <c r="C20" s="135"/>
      <c r="D20" s="135"/>
      <c r="E20" s="135"/>
      <c r="F20" s="135"/>
      <c r="G20" s="135"/>
      <c r="H20" s="135"/>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