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Burn-down Chart (Mid-Project)" sheetId="11" r:id="rId13"/>
    <sheet state="visible" name="Final Project Release plan" sheetId="12" r:id="rId14"/>
    <sheet state="visible" name="Definition of Done" sheetId="13" r:id="rId15"/>
    <sheet state="visible" name="Documentation" sheetId="14" r:id="rId16"/>
    <sheet state="visible" name="Bill of Materials" sheetId="15" r:id="rId17"/>
    <sheet state="visible" name="Planning Poker" sheetId="16" r:id="rId18"/>
  </sheets>
  <definedNames/>
  <calcPr/>
</workbook>
</file>

<file path=xl/sharedStrings.xml><?xml version="1.0" encoding="utf-8"?>
<sst xmlns="http://schemas.openxmlformats.org/spreadsheetml/2006/main" count="444" uniqueCount="299">
  <si>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</si>
  <si>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</si>
  <si>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</si>
  <si>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</si>
  <si>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</si>
  <si>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</si>
  <si>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</si>
  <si>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</si>
  <si>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</si>
  <si>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</si>
  <si>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</si>
  <si>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</si>
  <si>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</si>
  <si>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</si>
  <si>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</si>
  <si>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</si>
  <si>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</si>
  <si>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</si>
  <si>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</si>
  <si>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</si>
  <si>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</si>
  <si>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</si>
  <si>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</si>
  <si>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</si>
  <si>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</si>
  <si>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</si>
  <si>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</si>
  <si>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</si>
  <si>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</si>
  <si>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</si>
  <si>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</si>
  <si>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</si>
  <si>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</si>
  <si>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</si>
  <si>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</si>
  <si>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</si>
  <si>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</si>
  <si>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</si>
  <si>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</si>
  <si>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</si>
  <si>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</si>
  <si>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</si>
  <si>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</si>
  <si>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</si>
  <si>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</si>
  <si>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</si>
  <si>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</si>
  <si>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</si>
  <si>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</si>
  <si>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</si>
  <si>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</si>
  <si>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</si>
  <si>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</si>
  <si>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</si>
  <si>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</si>
  <si>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</si>
  <si>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</si>
  <si>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</si>
  <si>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</si>
  <si>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</si>
  <si>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</si>
  <si>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</si>
  <si>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</si>
  <si>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</si>
  <si>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</si>
  <si>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</si>
  <si>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</si>
  <si>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</si>
  <si>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</si>
  <si>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</si>
  <si>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</si>
  <si>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</si>
  <si>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</si>
  <si>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</si>
  <si>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</si>
  <si>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</si>
  <si>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</si>
  <si>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</si>
  <si>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</si>
  <si>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</si>
  <si>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</si>
  <si>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</si>
  <si>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</si>
  <si>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</si>
  <si>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</si>
  <si>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</si>
  <si>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</si>
  <si>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</si>
  <si>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</si>
  <si>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</si>
  <si>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</si>
  <si>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</si>
  <si>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</si>
  <si>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</si>
  <si>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</si>
  <si>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</si>
  <si>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</si>
  <si>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</si>
  <si>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</si>
  <si>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</si>
  <si>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</si>
  <si>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</si>
  <si>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</si>
  <si>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</si>
  <si>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</si>
  <si>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</si>
  <si>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</si>
  <si>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t>
  </si>
  <si>
    <t xml:space="preserve">Creating an MVP for our industry partner which implements an alternative approach for managing distributed nodes. It offers an UI for editing and overview data from nodes as well as users and their permissions. The backend simulates backup nodes and how nodes will interact with each other. Frontend communicates with the backend to get/edit/delete data such as users, permissions as well as backups &amp; cluster information. </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</si>
  <si>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</si>
  <si>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</si>
  <si>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</si>
  <si>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</si>
  <si>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</si>
  <si>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</si>
  <si>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</si>
  <si>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</si>
  <si>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</si>
  <si>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</si>
  <si>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</si>
  <si>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</si>
  <si>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</si>
  <si>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</si>
  <si>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</si>
  <si>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</si>
  <si>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</si>
  <si>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</si>
  <si>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</si>
  <si>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</si>
  <si>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</si>
  <si>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</si>
  <si>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</si>
  <si>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</si>
  <si>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</si>
  <si>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</si>
  <si>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Superuser</t>
  </si>
  <si>
    <t>System user who has all permissions and can create new admins</t>
  </si>
  <si>
    <t>Administrator</t>
  </si>
  <si>
    <t>System users who can do and see everything except create/remove admins</t>
  </si>
  <si>
    <t>Operator</t>
  </si>
  <si>
    <t>System users who can see backups in the FE but not modify anything (read-only user)</t>
  </si>
  <si>
    <t>Restore User</t>
  </si>
  <si>
    <t>System users who can restore backups, no access to user management</t>
  </si>
  <si>
    <t>Backup User</t>
  </si>
  <si>
    <t>System users who can create backups, no access to user management</t>
  </si>
  <si>
    <t>Sprint #</t>
  </si>
  <si>
    <t>Sprint goal</t>
  </si>
  <si>
    <t>None</t>
  </si>
  <si>
    <t>Working MVP with FE, CM and 2 Nodes</t>
  </si>
  <si>
    <t>Mid-Project Release</t>
  </si>
  <si>
    <t>Sprint 7 Goal</t>
  </si>
  <si>
    <t>Sprint 8 Goal</t>
  </si>
  <si>
    <t>Sprint 9 Goal</t>
  </si>
  <si>
    <t>Sprint 10 Goal</t>
  </si>
  <si>
    <t>Sprint 11 Goal</t>
  </si>
  <si>
    <t>Sprint 12 Goal</t>
  </si>
  <si>
    <t>Sprint 13 Goal</t>
  </si>
  <si>
    <t>Sprint 14 Goal</t>
  </si>
  <si>
    <t>Sprint 15 Goal</t>
  </si>
  <si>
    <t>Story Points Realized</t>
  </si>
  <si>
    <t>PLEASE CREATE THE VELOCITY CHART ON A NEW TAB USING THE DATA FROM THIS TAB</t>
  </si>
  <si>
    <t>Sprint</t>
  </si>
  <si>
    <t>Average Speed</t>
  </si>
  <si>
    <t>Goal</t>
  </si>
  <si>
    <t>Feature Name</t>
  </si>
  <si>
    <t>Est. size</t>
  </si>
  <si>
    <t>Est. remaining</t>
  </si>
  <si>
    <t>Real size</t>
  </si>
  <si>
    <t>Real remaining</t>
  </si>
  <si>
    <t>Release</t>
  </si>
  <si>
    <t>Total</t>
  </si>
  <si>
    <t>Sprints</t>
  </si>
  <si>
    <t>Estimated burn-down</t>
  </si>
  <si>
    <t>Real burn-down</t>
  </si>
  <si>
    <t>Features</t>
  </si>
  <si>
    <t>Deciding our Tshirt design</t>
  </si>
  <si>
    <t>Deciding our team logo</t>
  </si>
  <si>
    <t>Setup Build Process for Backend</t>
  </si>
  <si>
    <t>Setup Basic Angular Project (Frontend)</t>
  </si>
  <si>
    <t>Create first architecture draft</t>
  </si>
  <si>
    <t>Setup Build Process For Frontend</t>
  </si>
  <si>
    <t>Create Basic Spring Boot Project</t>
  </si>
  <si>
    <t>Define entities for DBs</t>
  </si>
  <si>
    <t>Create Docker Compose Configuration</t>
  </si>
  <si>
    <t>Setup Database and Integrate it</t>
  </si>
  <si>
    <t>Setup Dockerfile (Backend)</t>
  </si>
  <si>
    <t>Create Basic UI Layout</t>
  </si>
  <si>
    <t>Create Overview page</t>
  </si>
  <si>
    <t>Add functionallity to sidebar</t>
  </si>
  <si>
    <t>Create multiple pages for Router Outlet</t>
  </si>
  <si>
    <t>Backend: Create Cluster Manager</t>
  </si>
  <si>
    <t>Frontend: Create Node Tab</t>
  </si>
  <si>
    <t>Backend: Get Nodes API</t>
  </si>
  <si>
    <t>Backend: Get Backups API</t>
  </si>
  <si>
    <t>Frontend: Create Backups Tab</t>
  </si>
  <si>
    <t>Frontend: Header moving while scrolling</t>
  </si>
  <si>
    <t>Add Jacoco To Build And Integrate As Badge</t>
  </si>
  <si>
    <t>Backend: Create User Node</t>
  </si>
  <si>
    <t>Create Documentation</t>
  </si>
  <si>
    <t>Create a test setup with 3 nodes</t>
  </si>
  <si>
    <t>Backend: Create Database</t>
  </si>
  <si>
    <t>Backend: Add Pagination To APIs</t>
  </si>
  <si>
    <t>Implement functions for DB</t>
  </si>
  <si>
    <t>List Users</t>
  </si>
  <si>
    <t>Create / Update / Delete User</t>
  </si>
  <si>
    <t>Filter / Sort Backups</t>
  </si>
  <si>
    <t>Bug: Main is not building</t>
  </si>
  <si>
    <t>Backend: Implement node (un)registration process</t>
  </si>
  <si>
    <t>Create Backup</t>
  </si>
  <si>
    <t>Delete Backup</t>
  </si>
  <si>
    <t>Filter / Sort Nodes</t>
  </si>
  <si>
    <t>Basic Backup Schedules</t>
  </si>
  <si>
    <t>Mock Backup Tasks</t>
  </si>
  <si>
    <t>PLEASE CREATE THE BURNDOWN CHART ON A NEW TAB USING THE DATA FROM THIS TAB</t>
  </si>
  <si>
    <t>Burn-Down Chart</t>
  </si>
  <si>
    <t>...</t>
  </si>
  <si>
    <t>Feature Definition of Done</t>
  </si>
  <si>
    <t>Sprint Release Definition of Done</t>
  </si>
  <si>
    <t>Project Release Definition of Done</t>
  </si>
  <si>
    <t>Code review has been completed and code has been merged</t>
  </si>
  <si>
    <t>Project builds, deploys, and tests successfully</t>
  </si>
  <si>
    <t>Project can be opened on desktop browsers</t>
  </si>
  <si>
    <t>All feature branches have been merged and closed</t>
  </si>
  <si>
    <t>Database update scripts succeed, consistency tests pass</t>
  </si>
  <si>
    <t>Design documentation has been updated</t>
  </si>
  <si>
    <t>New feature code has been documented</t>
  </si>
  <si>
    <t>Sprint release notes have been written</t>
  </si>
  <si>
    <t>User documentation has been updated</t>
  </si>
  <si>
    <t>Component tests have been written and pass</t>
  </si>
  <si>
    <t>Change log has been updated</t>
  </si>
  <si>
    <t>The core function must succeed and produce an artifact.</t>
  </si>
  <si>
    <t>Component builds with build pipeline</t>
  </si>
  <si>
    <t>BOM is updated</t>
  </si>
  <si>
    <t>Fulfills all acceptance criteria for item</t>
  </si>
  <si>
    <t>Type</t>
  </si>
  <si>
    <t>Link / reference</t>
  </si>
  <si>
    <t>Context</t>
  </si>
  <si>
    <t>Name</t>
  </si>
  <si>
    <t>Version</t>
  </si>
  <si>
    <t>License</t>
  </si>
  <si>
    <t>Frontend</t>
  </si>
  <si>
    <t>Tailwindcss</t>
  </si>
  <si>
    <t>4.1.16</t>
  </si>
  <si>
    <t>MIT License</t>
  </si>
  <si>
    <t>Utility-first CSS Framework</t>
  </si>
  <si>
    <t>Flowbite</t>
  </si>
  <si>
    <t>3.1.2</t>
  </si>
  <si>
    <t>Component library built on Tailwind CSS.</t>
  </si>
  <si>
    <t>Angular</t>
  </si>
  <si>
    <t>20.3.7</t>
  </si>
  <si>
    <t>typescript</t>
  </si>
  <si>
    <t>5.9.3</t>
  </si>
  <si>
    <t>Apache-2.0</t>
  </si>
  <si>
    <t>zonejs</t>
  </si>
  <si>
    <t>0.15.1</t>
  </si>
  <si>
    <t>tslib</t>
  </si>
  <si>
    <t>2.8.1</t>
  </si>
  <si>
    <t>karma</t>
  </si>
  <si>
    <t>6.4.4</t>
  </si>
  <si>
    <t>karma-chrome-launcher</t>
  </si>
  <si>
    <t>3.2.0</t>
  </si>
  <si>
    <t>karma-coverage</t>
  </si>
  <si>
    <t>2.2.1</t>
  </si>
  <si>
    <t>karma-jasmine</t>
  </si>
  <si>
    <t>5.1.0</t>
  </si>
  <si>
    <t>karma-jasmine-html-reporter</t>
  </si>
  <si>
    <t>2.1.0</t>
  </si>
  <si>
    <t>postcss</t>
  </si>
  <si>
    <t>8.5.6</t>
  </si>
  <si>
    <t>rxjs</t>
  </si>
  <si>
    <t>7.8.2</t>
  </si>
  <si>
    <t>Backend</t>
  </si>
  <si>
    <t>postgresql(-docker)</t>
  </si>
  <si>
    <t>latest</t>
  </si>
  <si>
    <t>MIT</t>
  </si>
  <si>
    <t>PostgreSQL JDBC Driver</t>
  </si>
  <si>
    <t>42.7.7</t>
  </si>
  <si>
    <t>BSD-2</t>
  </si>
  <si>
    <t>H2</t>
  </si>
  <si>
    <t>2.3.232</t>
  </si>
  <si>
    <t>MLP 2.0</t>
  </si>
  <si>
    <t>spring-boot</t>
  </si>
  <si>
    <t>3.5.6</t>
  </si>
  <si>
    <t>Flyway</t>
  </si>
  <si>
    <t>11.7.2</t>
  </si>
  <si>
    <t>Mybatis</t>
  </si>
  <si>
    <t>3.0.3</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</si>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</sst>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font>
      <u/>
      <color rgb="FF0000FF"/>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29">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4"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4" fontId="6" numFmtId="0" xfId="0" applyAlignment="1" applyFont="1">
      <alignment horizontal="left" shrinkToFit="0" vertical="bottom" wrapText="0"/>
    </xf>
    <xf borderId="0" fillId="4" fontId="7"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right" readingOrder="0" shrinkToFit="0" vertical="bottom" wrapText="0"/>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readingOrder="0" shrinkToFit="0" vertical="bottom" wrapText="1"/>
    </xf>
    <xf borderId="0" fillId="4" fontId="7" numFmtId="0" xfId="0" applyAlignment="1" applyFont="1">
      <alignment horizontal="left" readingOrder="0" shrinkToFit="0" vertical="bottom" wrapText="1"/>
    </xf>
    <xf borderId="0" fillId="4" fontId="2" numFmtId="0" xfId="0" applyAlignment="1" applyFont="1">
      <alignment shrinkToFit="0" wrapText="1"/>
    </xf>
    <xf borderId="0" fillId="3" fontId="2" numFmtId="0" xfId="0" applyAlignment="1" applyFont="1">
      <alignment horizontal="left" readingOrder="0" shrinkToFit="0" wrapText="1"/>
    </xf>
    <xf borderId="0" fillId="4" fontId="2" numFmtId="0" xfId="0" applyAlignment="1" applyFont="1">
      <alignment horizontal="left" readingOrder="0" shrinkToFit="0"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shrinkToFit="0" vertical="bottom" wrapText="1"/>
    </xf>
    <xf borderId="0" fillId="3" fontId="7" numFmtId="0" xfId="0" applyAlignment="1" applyFont="1">
      <alignment horizontal="left" shrinkToFit="0" vertical="bottom" wrapText="1"/>
    </xf>
    <xf borderId="0" fillId="3" fontId="6"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1"/>
    </xf>
    <xf borderId="0" fillId="4" fontId="6" numFmtId="0" xfId="0" applyAlignment="1" applyFont="1">
      <alignment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4" fontId="7"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0"/>
    </xf>
    <xf borderId="0" fillId="4" fontId="7" numFmtId="0" xfId="0" applyAlignment="1" applyFont="1">
      <alignment readingOrder="0" shrinkToFit="0" vertical="bottom" wrapText="1"/>
    </xf>
    <xf borderId="0" fillId="3" fontId="7" numFmtId="0" xfId="0" applyAlignment="1" applyFont="1">
      <alignment readingOrder="0" shrinkToFit="0" vertical="bottom" wrapText="1"/>
    </xf>
    <xf borderId="0" fillId="4" fontId="2" numFmtId="0" xfId="0" applyAlignment="1" applyFont="1">
      <alignment readingOrder="0" shrinkToFit="0" wrapText="1"/>
    </xf>
    <xf borderId="0" fillId="4" fontId="6" numFmtId="0" xfId="0" applyAlignment="1" applyFont="1">
      <alignment shrinkToFit="0" vertical="bottom" wrapText="0"/>
    </xf>
    <xf borderId="0" fillId="2" fontId="6" numFmtId="0" xfId="0" applyAlignment="1" applyFont="1">
      <alignment shrinkToFit="0" vertical="bottom" wrapText="1"/>
    </xf>
    <xf borderId="0" fillId="7" fontId="6" numFmtId="0" xfId="0" applyAlignment="1" applyFont="1">
      <alignment shrinkToFit="0" vertical="bottom" wrapText="0"/>
    </xf>
    <xf borderId="0" fillId="3" fontId="6" numFmtId="0" xfId="0" applyAlignment="1" applyFont="1">
      <alignment horizontal="left" shrinkToFit="0" vertical="bottom" wrapText="0"/>
    </xf>
    <xf borderId="0" fillId="3" fontId="7" numFmtId="0" xfId="0" applyAlignment="1" applyFont="1">
      <alignment horizontal="right" shrinkToFit="0" vertical="bottom" wrapText="0"/>
    </xf>
    <xf borderId="0" fillId="5"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9" numFmtId="4" xfId="0" applyAlignment="1" applyFont="1" applyNumberFormat="1">
      <alignment horizontal="center" shrinkToFit="0" vertical="center" wrapText="1"/>
    </xf>
    <xf borderId="0" fillId="8" fontId="9"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plan'!$A$9:$A$15</c:f>
            </c:strRef>
          </c:cat>
          <c:val>
            <c:numRef>
              <c:f>'Mid-Project Release plan'!$E$9:$E$14</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plan'!$A$9:$A$15</c:f>
            </c:strRef>
          </c:cat>
          <c:val>
            <c:numRef>
              <c:f>'Mid-Project Release plan'!$G$9:$G$14</c:f>
              <c:numCache/>
            </c:numRef>
          </c:val>
        </c:ser>
        <c:axId val="1604172428"/>
        <c:axId val="907779935"/>
      </c:barChart>
      <c:lineChart>
        <c:varyColors val="0"/>
        <c:ser>
          <c:idx val="2"/>
          <c:order val="2"/>
          <c:tx>
            <c:v>Development Speed</c:v>
          </c:tx>
          <c:spPr>
            <a:ln cmpd="sng">
              <a:solidFill>
                <a:srgbClr val="000000">
                  <a:alpha val="100000"/>
                </a:srgbClr>
              </a:solidFill>
            </a:ln>
          </c:spPr>
          <c:marker>
            <c:symbol val="none"/>
          </c:marker>
          <c:cat>
            <c:strRef>
              <c:f>'Mid-Project Release plan'!$A$9:$A$15</c:f>
            </c:strRef>
          </c:cat>
          <c:val>
            <c:numRef>
              <c:f>'Burn-down Chart (Mid-Project)'!$A$2:$A$8</c:f>
              <c:numCache/>
            </c:numRef>
          </c:val>
          <c:smooth val="0"/>
        </c:ser>
        <c:axId val="1604172428"/>
        <c:axId val="907779935"/>
      </c:lineChart>
      <c:catAx>
        <c:axId val="1604172428"/>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907779935"/>
      </c:catAx>
      <c:valAx>
        <c:axId val="9077799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604172428"/>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Chart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28575</xdr:rowOff>
    </xdr:from>
    <xdr:ext cx="7648575" cy="3533775"/>
    <xdr:pic>
      <xdr:nvPicPr>
        <xdr:cNvPr id="1636916913"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9.xml><?xml version="1.0" encoding="utf-8"?>
<table xmlns="http://schemas.openxmlformats.org/spreadsheetml/2006/main" ref="A1:D20" displayName="Table_9" name="Table_9" id="9">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0.xml><?xml version="1.0" encoding="utf-8"?>
<table xmlns="http://schemas.openxmlformats.org/spreadsheetml/2006/main" ref="A1:B20" displayName="Table_10" name="Table_10" id="10">
  <tableColumns count="2">
    <tableColumn name="Type" id="1"/>
    <tableColumn name="Link / reference" id="2"/>
  </tableColumns>
  <tableStyleInfo name="Documentation-style" showColumnStripes="0" showFirstColumn="1" showLastColumn="1" showRowStripes="1"/>
</table>
</file>

<file path=xl/tables/table11.xml><?xml version="1.0" encoding="utf-8"?>
<table xmlns="http://schemas.openxmlformats.org/spreadsheetml/2006/main" ref="A1:F23" displayName="Table_11" name="Table_11" id="11">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73</v>
      </c>
      <c r="D13" s="12" t="s">
        <v>72</v>
      </c>
      <c r="E13" s="12" t="s">
        <v>69</v>
      </c>
      <c r="F13" s="12" t="s">
        <v>78</v>
      </c>
      <c r="G13" s="12" t="s">
        <v>70</v>
      </c>
      <c r="H13" s="24"/>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A14" s="9" t="s">
        <v>135</v>
      </c>
      <c r="B14" s="2" t="s">
        <v>136</v>
      </c>
    </row>
    <row r="15">
      <c r="A15" s="9" t="s">
        <v>137</v>
      </c>
      <c r="B15" s="2" t="s">
        <v>138</v>
      </c>
    </row>
    <row r="16">
      <c r="A16" s="2" t="s">
        <v>139</v>
      </c>
      <c r="B16" s="2" t="s">
        <v>140</v>
      </c>
    </row>
    <row r="17">
      <c r="A17" s="2" t="s">
        <v>141</v>
      </c>
      <c r="B17" s="2" t="s">
        <v>142</v>
      </c>
    </row>
    <row r="18">
      <c r="A18" s="2" t="s">
        <v>143</v>
      </c>
      <c r="B18" s="2" t="s">
        <v>144</v>
      </c>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146</v>
      </c>
    </row>
    <row r="2">
      <c r="A2" s="45">
        <v>1.0</v>
      </c>
      <c r="B2" s="2" t="s">
        <v>147</v>
      </c>
    </row>
    <row r="3">
      <c r="A3" s="45">
        <f t="shared" ref="A3:A16" si="1">A2+1</f>
        <v>2</v>
      </c>
      <c r="B3" s="2" t="s">
        <v>147</v>
      </c>
    </row>
    <row r="4">
      <c r="A4" s="45">
        <f t="shared" si="1"/>
        <v>3</v>
      </c>
      <c r="B4" s="2" t="s">
        <v>147</v>
      </c>
    </row>
    <row r="5">
      <c r="A5" s="45">
        <f t="shared" si="1"/>
        <v>4</v>
      </c>
      <c r="B5" s="9" t="s">
        <v>148</v>
      </c>
    </row>
    <row r="6">
      <c r="A6" s="45">
        <f t="shared" si="1"/>
        <v>5</v>
      </c>
      <c r="B6" s="9" t="s">
        <v>148</v>
      </c>
    </row>
    <row r="7">
      <c r="A7" s="45">
        <f t="shared" si="1"/>
        <v>6</v>
      </c>
      <c r="B7" s="2" t="s">
        <v>149</v>
      </c>
    </row>
    <row r="8">
      <c r="A8" s="45">
        <f t="shared" si="1"/>
        <v>7</v>
      </c>
      <c r="B8" s="2" t="s">
        <v>150</v>
      </c>
    </row>
    <row r="9">
      <c r="A9" s="45">
        <f t="shared" si="1"/>
        <v>8</v>
      </c>
      <c r="B9" s="2" t="s">
        <v>151</v>
      </c>
    </row>
    <row r="10">
      <c r="A10" s="45">
        <f t="shared" si="1"/>
        <v>9</v>
      </c>
      <c r="B10" s="2" t="s">
        <v>152</v>
      </c>
    </row>
    <row r="11">
      <c r="A11" s="45">
        <f t="shared" si="1"/>
        <v>10</v>
      </c>
      <c r="B11" s="2" t="s">
        <v>153</v>
      </c>
    </row>
    <row r="12">
      <c r="A12" s="45">
        <f t="shared" si="1"/>
        <v>11</v>
      </c>
      <c r="B12" s="2" t="s">
        <v>154</v>
      </c>
    </row>
    <row r="13">
      <c r="A13" s="45">
        <f t="shared" si="1"/>
        <v>12</v>
      </c>
      <c r="B13" s="2" t="s">
        <v>155</v>
      </c>
    </row>
    <row r="14">
      <c r="A14" s="45">
        <f t="shared" si="1"/>
        <v>13</v>
      </c>
      <c r="B14" s="2" t="s">
        <v>156</v>
      </c>
    </row>
    <row r="15">
      <c r="A15" s="45">
        <f t="shared" si="1"/>
        <v>14</v>
      </c>
      <c r="B15" s="2" t="s">
        <v>157</v>
      </c>
    </row>
    <row r="16">
      <c r="A16" s="45">
        <f t="shared" si="1"/>
        <v>15</v>
      </c>
      <c r="B16" s="2" t="s">
        <v>158</v>
      </c>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159</v>
      </c>
    </row>
    <row r="2">
      <c r="A2" s="45">
        <v>1.0</v>
      </c>
      <c r="B2" s="2">
        <v>0.0</v>
      </c>
    </row>
    <row r="3">
      <c r="A3" s="45">
        <f t="shared" ref="A3:A16" si="1">A2+1</f>
        <v>2</v>
      </c>
      <c r="B3" s="2">
        <v>13.0</v>
      </c>
    </row>
    <row r="4">
      <c r="A4" s="45">
        <f t="shared" si="1"/>
        <v>3</v>
      </c>
      <c r="B4" s="2">
        <v>14.0</v>
      </c>
    </row>
    <row r="5">
      <c r="A5" s="45">
        <f t="shared" si="1"/>
        <v>4</v>
      </c>
      <c r="B5" s="9">
        <v>20.0</v>
      </c>
    </row>
    <row r="6">
      <c r="A6" s="45">
        <f t="shared" si="1"/>
        <v>5</v>
      </c>
      <c r="B6" s="2"/>
    </row>
    <row r="7">
      <c r="A7" s="45">
        <f t="shared" si="1"/>
        <v>6</v>
      </c>
      <c r="B7" s="3"/>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47" t="s">
        <v>160</v>
      </c>
    </row>
    <row r="19">
      <c r="A19" s="46"/>
      <c r="B19" s="3"/>
    </row>
    <row r="20">
      <c r="A20" s="46"/>
      <c r="B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9" t="s">
        <v>161</v>
      </c>
      <c r="B1" s="9" t="s">
        <v>162</v>
      </c>
    </row>
    <row r="2">
      <c r="A2" s="9">
        <v>2.0</v>
      </c>
      <c r="B2">
        <f>AVERAGE('Velocity Tracking'!B3)</f>
        <v>13</v>
      </c>
    </row>
    <row r="3">
      <c r="A3" s="9">
        <v>3.0</v>
      </c>
      <c r="B3">
        <f>AVERAGE('Velocity Tracking'!B3:B4)</f>
        <v>13.5</v>
      </c>
    </row>
    <row r="4">
      <c r="A4" s="9">
        <v>4.0</v>
      </c>
      <c r="B4">
        <f>AVERAGE('Velocity Tracking'!B3:B5)</f>
        <v>15.66666667</v>
      </c>
    </row>
    <row r="5">
      <c r="A5" s="9">
        <v>5.0</v>
      </c>
      <c r="B5">
        <f>AVERAGE('Velocity Tracking'!B3:B6)</f>
        <v>15.66666667</v>
      </c>
    </row>
    <row r="6">
      <c r="A6" s="9">
        <v>6.0</v>
      </c>
      <c r="B6">
        <f>AVERAGE('Velocity Tracking'!B3:B7)</f>
        <v>15.66666667</v>
      </c>
    </row>
    <row r="7">
      <c r="A7" s="9">
        <v>7.0</v>
      </c>
      <c r="B7">
        <f>AVERAGE('Velocity Tracking'!B3:B8)</f>
        <v>15.66666667</v>
      </c>
    </row>
    <row r="8">
      <c r="A8" s="9">
        <v>8.0</v>
      </c>
      <c r="B8">
        <f>AVERAGE('Velocity Tracking'!B3:B9)</f>
        <v>15.66666667</v>
      </c>
    </row>
    <row r="9">
      <c r="A9" s="9">
        <v>9.0</v>
      </c>
      <c r="B9">
        <f>AVERAGE('Velocity Tracking'!B3:B10)</f>
        <v>15.66666667</v>
      </c>
    </row>
    <row r="10">
      <c r="A10" s="9">
        <v>10.0</v>
      </c>
      <c r="B10">
        <f>AVERAGE('Velocity Tracking'!B3:B11)</f>
        <v>15.66666667</v>
      </c>
    </row>
    <row r="11">
      <c r="A11" s="9">
        <v>11.0</v>
      </c>
      <c r="B11">
        <f>AVERAGE('Velocity Tracking'!B3:B12)</f>
        <v>15.66666667</v>
      </c>
    </row>
    <row r="12">
      <c r="A12" s="9">
        <v>12.0</v>
      </c>
      <c r="B12">
        <f>AVERAGE('Velocity Tracking'!B3:B13)</f>
        <v>15.66666667</v>
      </c>
    </row>
    <row r="13">
      <c r="A13" s="9">
        <v>13.0</v>
      </c>
      <c r="B13">
        <f>AVERAGE('Velocity Tracking'!B3:B14)</f>
        <v>15.66666667</v>
      </c>
    </row>
    <row r="14">
      <c r="A14" s="9">
        <v>14.0</v>
      </c>
      <c r="B14">
        <f>AVERAGE('Velocity Tracking'!B3:B15)</f>
        <v>15.66666667</v>
      </c>
    </row>
    <row r="15">
      <c r="A15" s="9">
        <v>15.0</v>
      </c>
      <c r="B15">
        <f>AVERAGE('Velocity Tracking'!B3:B16)</f>
        <v>15.66666667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5.75"/>
    <col customWidth="1" min="3" max="3" width="48.5"/>
    <col customWidth="1" min="4" max="7" width="15.75"/>
  </cols>
  <sheetData>
    <row r="1">
      <c r="A1" s="48" t="s">
        <v>161</v>
      </c>
      <c r="B1" s="49" t="s">
        <v>163</v>
      </c>
      <c r="C1" s="50" t="s">
        <v>164</v>
      </c>
      <c r="D1" s="51" t="s">
        <v>165</v>
      </c>
      <c r="E1" s="51" t="s">
        <v>166</v>
      </c>
      <c r="F1" s="51" t="s">
        <v>167</v>
      </c>
      <c r="G1" s="51" t="s">
        <v>168</v>
      </c>
    </row>
    <row r="2">
      <c r="A2" s="52"/>
      <c r="B2" s="53"/>
      <c r="C2" s="35"/>
      <c r="D2" s="35"/>
      <c r="E2" s="35"/>
      <c r="F2" s="35"/>
      <c r="G2" s="35"/>
    </row>
    <row r="3">
      <c r="A3" s="54" t="s">
        <v>169</v>
      </c>
      <c r="B3" s="55"/>
      <c r="C3" s="56"/>
      <c r="D3" s="56"/>
      <c r="E3" s="56"/>
      <c r="F3" s="56"/>
      <c r="G3" s="56"/>
    </row>
    <row r="4">
      <c r="A4" s="52"/>
      <c r="B4" s="53"/>
      <c r="C4" s="35"/>
      <c r="D4" s="35"/>
      <c r="E4" s="35"/>
      <c r="F4" s="35"/>
      <c r="G4" s="35"/>
    </row>
    <row r="5">
      <c r="A5" s="57" t="s">
        <v>170</v>
      </c>
      <c r="B5" s="58"/>
      <c r="C5" s="36"/>
      <c r="D5" s="59">
        <f>sum(D8:D14)</f>
        <v>125</v>
      </c>
      <c r="E5" s="59">
        <f>D5</f>
        <v>125</v>
      </c>
      <c r="F5" s="36"/>
      <c r="G5" s="36"/>
    </row>
    <row r="6">
      <c r="A6" s="52"/>
      <c r="B6" s="53"/>
      <c r="C6" s="35"/>
      <c r="D6" s="35"/>
      <c r="E6" s="35"/>
      <c r="F6" s="35"/>
      <c r="G6" s="35"/>
    </row>
    <row r="7">
      <c r="A7" s="60" t="s">
        <v>171</v>
      </c>
      <c r="B7" s="61"/>
      <c r="C7" s="62"/>
      <c r="D7" s="62"/>
      <c r="E7" s="62"/>
      <c r="F7" s="62"/>
      <c r="G7" s="62"/>
    </row>
    <row r="8">
      <c r="A8" s="52"/>
      <c r="B8" s="53"/>
      <c r="C8" s="35"/>
      <c r="D8" s="35"/>
      <c r="E8" s="63" t="s">
        <v>172</v>
      </c>
      <c r="F8" s="35"/>
      <c r="G8" s="63" t="s">
        <v>173</v>
      </c>
    </row>
    <row r="9">
      <c r="A9" s="64">
        <v>1.0</v>
      </c>
      <c r="B9" s="65" t="str">
        <f>'Sprint Goals'!B2</f>
        <v>None</v>
      </c>
      <c r="D9" s="59">
        <f>sum(D18:D19)</f>
        <v>1</v>
      </c>
      <c r="E9" s="59">
        <f>$D$5</f>
        <v>125</v>
      </c>
      <c r="F9" s="66">
        <v>0.0</v>
      </c>
      <c r="G9" s="59">
        <f>$D$5</f>
        <v>125</v>
      </c>
    </row>
    <row r="10">
      <c r="A10" s="52">
        <f t="shared" ref="A10:A11" si="1">A9+1</f>
        <v>2</v>
      </c>
      <c r="B10" s="67" t="str">
        <f>'Sprint Goals'!B3</f>
        <v>None</v>
      </c>
      <c r="D10" s="68">
        <v>15.0</v>
      </c>
      <c r="E10" s="69">
        <f t="shared" ref="E10:E14" si="2">E9-D9</f>
        <v>124</v>
      </c>
      <c r="F10" s="68">
        <v>13.0</v>
      </c>
      <c r="G10" s="69">
        <f t="shared" ref="G10:G14" si="3">G9-F9</f>
        <v>125</v>
      </c>
    </row>
    <row r="11">
      <c r="A11" s="64">
        <f t="shared" si="1"/>
        <v>3</v>
      </c>
      <c r="B11" s="65" t="str">
        <f>'Sprint Goals'!B4</f>
        <v>None</v>
      </c>
      <c r="D11" s="66">
        <v>18.0</v>
      </c>
      <c r="E11" s="59">
        <f t="shared" si="2"/>
        <v>109</v>
      </c>
      <c r="F11" s="66">
        <v>14.0</v>
      </c>
      <c r="G11" s="59">
        <f t="shared" si="3"/>
        <v>112</v>
      </c>
    </row>
    <row r="12">
      <c r="A12" s="70">
        <v>4.0</v>
      </c>
      <c r="B12" s="67" t="str">
        <f>'Sprint Goals'!B5</f>
        <v>Working MVP with FE, CM and 2 Nodes</v>
      </c>
      <c r="D12" s="71">
        <f>SUM(D39:D46)</f>
        <v>21</v>
      </c>
      <c r="E12" s="69">
        <f t="shared" si="2"/>
        <v>91</v>
      </c>
      <c r="F12" s="71">
        <v>20.0</v>
      </c>
      <c r="G12" s="69">
        <f t="shared" si="3"/>
        <v>98</v>
      </c>
    </row>
    <row r="13">
      <c r="A13" s="72">
        <v>5.0</v>
      </c>
      <c r="B13" s="65" t="str">
        <f>'Sprint Goals'!B6</f>
        <v>Working MVP with FE, CM and 2 Nodes</v>
      </c>
      <c r="D13" s="33">
        <f>SUM(D51:D63)</f>
        <v>41</v>
      </c>
      <c r="E13" s="73">
        <f t="shared" si="2"/>
        <v>70</v>
      </c>
      <c r="F13" s="33">
        <v>0.0</v>
      </c>
      <c r="G13" s="73">
        <f t="shared" si="3"/>
        <v>78</v>
      </c>
    </row>
    <row r="14">
      <c r="A14" s="74">
        <v>6.0</v>
      </c>
      <c r="B14" s="67" t="str">
        <f>'Sprint Goals'!B7</f>
        <v>Mid-Project Release</v>
      </c>
      <c r="D14" s="41">
        <f>SUM(D65:D72)</f>
        <v>29</v>
      </c>
      <c r="E14" s="69">
        <f t="shared" si="2"/>
        <v>29</v>
      </c>
      <c r="F14" s="41">
        <v>0.0</v>
      </c>
      <c r="G14" s="69">
        <f t="shared" si="3"/>
        <v>78</v>
      </c>
    </row>
    <row r="15">
      <c r="A15" s="75">
        <v>7.0</v>
      </c>
    </row>
    <row r="16">
      <c r="A16" s="76" t="s">
        <v>174</v>
      </c>
      <c r="B16" s="77"/>
      <c r="C16" s="78"/>
      <c r="D16" s="78"/>
      <c r="E16" s="78"/>
      <c r="F16" s="78"/>
      <c r="G16" s="78"/>
    </row>
    <row r="17">
      <c r="A17" s="79"/>
      <c r="B17" s="80"/>
      <c r="C17" s="79"/>
      <c r="D17" s="79"/>
      <c r="E17" s="79"/>
      <c r="F17" s="79"/>
      <c r="G17" s="79"/>
    </row>
    <row r="18">
      <c r="A18" s="81">
        <f>A9</f>
        <v>1</v>
      </c>
      <c r="B18" s="82" t="str">
        <f>'Sprint Goals'!B2</f>
        <v>None</v>
      </c>
      <c r="D18" s="83">
        <v>0.0</v>
      </c>
      <c r="E18" s="84"/>
      <c r="F18" s="83">
        <v>0.0</v>
      </c>
      <c r="G18" s="84"/>
    </row>
    <row r="19">
      <c r="A19" s="79"/>
      <c r="B19" s="79"/>
      <c r="C19" s="79" t="s">
        <v>175</v>
      </c>
      <c r="D19" s="79">
        <v>1.0</v>
      </c>
      <c r="E19" s="79"/>
      <c r="F19" s="79">
        <v>0.0</v>
      </c>
      <c r="G19" s="79"/>
    </row>
    <row r="20">
      <c r="A20" s="84"/>
      <c r="B20" s="84"/>
      <c r="C20" s="84" t="s">
        <v>176</v>
      </c>
      <c r="D20" s="84">
        <v>1.0</v>
      </c>
      <c r="E20" s="84"/>
      <c r="F20" s="84">
        <v>0.0</v>
      </c>
      <c r="G20" s="84"/>
    </row>
    <row r="21">
      <c r="A21" s="85">
        <f>A10</f>
        <v>2</v>
      </c>
      <c r="B21" s="86" t="str">
        <f>'Sprint Goals'!B3</f>
        <v>None</v>
      </c>
      <c r="D21" s="79"/>
      <c r="E21" s="79"/>
      <c r="F21" s="79"/>
      <c r="G21" s="79"/>
    </row>
    <row r="22">
      <c r="A22" s="87"/>
      <c r="B22" s="88"/>
      <c r="C22" s="35" t="s">
        <v>175</v>
      </c>
      <c r="D22" s="35">
        <v>1.0</v>
      </c>
      <c r="E22" s="35"/>
      <c r="F22" s="35">
        <v>1.0</v>
      </c>
      <c r="G22" s="35"/>
    </row>
    <row r="23">
      <c r="A23" s="64"/>
      <c r="B23" s="89"/>
      <c r="C23" s="36" t="s">
        <v>177</v>
      </c>
      <c r="D23" s="59">
        <v>3.0</v>
      </c>
      <c r="E23" s="36"/>
      <c r="F23" s="36">
        <v>2.0</v>
      </c>
      <c r="G23" s="36"/>
    </row>
    <row r="24">
      <c r="A24" s="87"/>
      <c r="B24" s="88"/>
      <c r="C24" s="88" t="s">
        <v>178</v>
      </c>
      <c r="D24" s="69">
        <v>2.0</v>
      </c>
      <c r="E24" s="88"/>
      <c r="F24" s="88">
        <v>2.0</v>
      </c>
      <c r="G24" s="88"/>
    </row>
    <row r="25">
      <c r="A25" s="64"/>
      <c r="B25" s="89"/>
      <c r="C25" s="36" t="s">
        <v>179</v>
      </c>
      <c r="D25" s="59">
        <v>3.0</v>
      </c>
      <c r="E25" s="36"/>
      <c r="F25" s="36">
        <v>3.0</v>
      </c>
      <c r="G25" s="36"/>
    </row>
    <row r="26">
      <c r="A26" s="87"/>
      <c r="B26" s="88"/>
      <c r="C26" s="35" t="s">
        <v>180</v>
      </c>
      <c r="D26" s="69">
        <v>3.0</v>
      </c>
      <c r="E26" s="88"/>
      <c r="F26" s="88">
        <v>2.0</v>
      </c>
      <c r="G26" s="88"/>
    </row>
    <row r="27">
      <c r="A27" s="64"/>
      <c r="B27" s="89"/>
      <c r="C27" s="36" t="s">
        <v>181</v>
      </c>
      <c r="D27" s="59">
        <v>2.0</v>
      </c>
      <c r="E27" s="36"/>
      <c r="F27" s="36">
        <v>2.0</v>
      </c>
      <c r="G27" s="36"/>
    </row>
    <row r="28">
      <c r="A28" s="87"/>
      <c r="B28" s="88"/>
      <c r="C28" s="35" t="s">
        <v>176</v>
      </c>
      <c r="D28" s="35">
        <v>1.0</v>
      </c>
      <c r="E28" s="35"/>
      <c r="F28" s="35">
        <v>1.0</v>
      </c>
      <c r="G28" s="35"/>
    </row>
    <row r="29">
      <c r="A29" s="64">
        <v>3.0</v>
      </c>
      <c r="B29" s="90" t="str">
        <f>'Sprint Goals'!B4</f>
        <v>None</v>
      </c>
      <c r="D29" s="59"/>
      <c r="E29" s="36"/>
      <c r="F29" s="36"/>
      <c r="G29" s="36"/>
    </row>
    <row r="30">
      <c r="A30" s="87"/>
      <c r="B30" s="88"/>
      <c r="C30" s="35" t="s">
        <v>182</v>
      </c>
      <c r="D30" s="35">
        <v>3.0</v>
      </c>
      <c r="E30" s="35"/>
      <c r="F30" s="35">
        <v>3.0</v>
      </c>
      <c r="G30" s="35"/>
    </row>
    <row r="31">
      <c r="A31" s="64"/>
      <c r="B31" s="89"/>
      <c r="C31" s="36" t="s">
        <v>183</v>
      </c>
      <c r="D31" s="59">
        <v>3.0</v>
      </c>
      <c r="E31" s="36"/>
      <c r="F31" s="36">
        <v>2.0</v>
      </c>
      <c r="G31" s="36"/>
    </row>
    <row r="32">
      <c r="A32" s="87"/>
      <c r="B32" s="88"/>
      <c r="C32" s="35" t="s">
        <v>184</v>
      </c>
      <c r="D32" s="35">
        <v>2.0</v>
      </c>
      <c r="E32" s="35"/>
      <c r="F32" s="35">
        <v>1.0</v>
      </c>
      <c r="G32" s="35"/>
    </row>
    <row r="33">
      <c r="A33" s="64"/>
      <c r="B33" s="89"/>
      <c r="C33" s="36" t="s">
        <v>185</v>
      </c>
      <c r="D33" s="59">
        <v>3.0</v>
      </c>
      <c r="E33" s="36"/>
      <c r="F33" s="36">
        <v>2.0</v>
      </c>
      <c r="G33" s="36"/>
    </row>
    <row r="34">
      <c r="A34" s="87"/>
      <c r="B34" s="88"/>
      <c r="C34" s="35" t="s">
        <v>186</v>
      </c>
      <c r="D34" s="35">
        <v>3.0</v>
      </c>
      <c r="E34" s="35"/>
      <c r="F34" s="35">
        <v>2.0</v>
      </c>
      <c r="G34" s="35"/>
    </row>
    <row r="35">
      <c r="A35" s="64"/>
      <c r="B35" s="89"/>
      <c r="C35" s="36" t="s">
        <v>187</v>
      </c>
      <c r="D35" s="59">
        <v>3.0</v>
      </c>
      <c r="E35" s="36"/>
      <c r="F35" s="36">
        <v>3.0</v>
      </c>
      <c r="G35" s="36"/>
    </row>
    <row r="36">
      <c r="A36" s="87"/>
      <c r="B36" s="88"/>
      <c r="C36" s="35" t="s">
        <v>188</v>
      </c>
      <c r="D36" s="35">
        <v>1.0</v>
      </c>
      <c r="E36" s="35"/>
      <c r="F36" s="35">
        <v>1.0</v>
      </c>
      <c r="G36" s="35"/>
    </row>
    <row r="37">
      <c r="A37" s="64"/>
      <c r="B37" s="89"/>
      <c r="C37" s="36" t="s">
        <v>189</v>
      </c>
      <c r="D37" s="59">
        <v>3.0</v>
      </c>
      <c r="E37" s="36"/>
      <c r="F37" s="36">
        <v>2.0</v>
      </c>
      <c r="G37" s="36"/>
    </row>
    <row r="38">
      <c r="A38" s="87">
        <v>4.0</v>
      </c>
      <c r="B38" s="91" t="str">
        <f>'Sprint Goals'!B5</f>
        <v>Working MVP with FE, CM and 2 Nodes</v>
      </c>
      <c r="C38" s="35"/>
      <c r="D38" s="35"/>
      <c r="E38" s="35"/>
      <c r="F38" s="35"/>
      <c r="G38" s="35"/>
    </row>
    <row r="39">
      <c r="A39" s="79"/>
      <c r="C39" s="79" t="s">
        <v>190</v>
      </c>
      <c r="D39" s="79">
        <v>3.0</v>
      </c>
      <c r="E39" s="79"/>
      <c r="F39" s="79">
        <v>3.0</v>
      </c>
      <c r="G39" s="79"/>
    </row>
    <row r="40">
      <c r="A40" s="84"/>
      <c r="B40" s="84"/>
      <c r="C40" s="84" t="s">
        <v>191</v>
      </c>
      <c r="D40" s="84">
        <v>3.0</v>
      </c>
      <c r="E40" s="84"/>
      <c r="F40" s="84">
        <v>3.0</v>
      </c>
      <c r="G40" s="84"/>
    </row>
    <row r="41">
      <c r="A41" s="79"/>
      <c r="B41" s="79"/>
      <c r="C41" s="79" t="s">
        <v>192</v>
      </c>
      <c r="D41" s="79">
        <v>3.0</v>
      </c>
      <c r="E41" s="79"/>
      <c r="F41" s="79">
        <v>3.0</v>
      </c>
      <c r="G41" s="79"/>
    </row>
    <row r="42">
      <c r="A42" s="84"/>
      <c r="B42" s="84"/>
      <c r="C42" s="84" t="s">
        <v>193</v>
      </c>
      <c r="D42" s="84">
        <v>3.0</v>
      </c>
      <c r="E42" s="84"/>
      <c r="F42" s="84">
        <v>3.0</v>
      </c>
      <c r="G42" s="84"/>
    </row>
    <row r="43">
      <c r="A43" s="79"/>
      <c r="B43" s="79"/>
      <c r="C43" s="79" t="s">
        <v>194</v>
      </c>
      <c r="D43" s="79">
        <v>3.0</v>
      </c>
      <c r="E43" s="79"/>
      <c r="F43" s="79">
        <v>3.0</v>
      </c>
      <c r="G43" s="79"/>
    </row>
    <row r="44">
      <c r="A44" s="84"/>
      <c r="B44" s="84"/>
      <c r="C44" s="84" t="s">
        <v>195</v>
      </c>
      <c r="D44" s="84">
        <v>0.0</v>
      </c>
      <c r="E44" s="84"/>
      <c r="F44" s="84">
        <v>0.0</v>
      </c>
      <c r="G44" s="84"/>
    </row>
    <row r="45">
      <c r="A45" s="79"/>
      <c r="B45" s="79"/>
      <c r="C45" s="79" t="s">
        <v>196</v>
      </c>
      <c r="D45" s="79">
        <v>3.0</v>
      </c>
      <c r="E45" s="79"/>
      <c r="F45" s="79">
        <v>2.0</v>
      </c>
      <c r="G45" s="79"/>
    </row>
    <row r="46">
      <c r="A46" s="84"/>
      <c r="B46" s="84"/>
      <c r="C46" s="84" t="s">
        <v>197</v>
      </c>
      <c r="D46" s="84">
        <v>3.0</v>
      </c>
      <c r="E46" s="84"/>
      <c r="F46" s="84">
        <v>3.0</v>
      </c>
      <c r="G46" s="84"/>
    </row>
    <row r="47">
      <c r="A47" s="79"/>
      <c r="B47" s="79"/>
      <c r="C47" s="79" t="s">
        <v>198</v>
      </c>
      <c r="D47" s="79">
        <v>2.0</v>
      </c>
      <c r="E47" s="79"/>
      <c r="F47" s="92">
        <v>0.0</v>
      </c>
      <c r="G47" s="79"/>
    </row>
    <row r="48">
      <c r="A48" s="84"/>
      <c r="B48" s="84"/>
      <c r="C48" s="84" t="s">
        <v>199</v>
      </c>
      <c r="D48" s="84">
        <v>3.0</v>
      </c>
      <c r="E48" s="84"/>
      <c r="F48" s="93">
        <v>0.0</v>
      </c>
      <c r="G48" s="84"/>
    </row>
    <row r="49">
      <c r="A49" s="79"/>
      <c r="B49" s="79"/>
      <c r="C49" s="79" t="s">
        <v>200</v>
      </c>
      <c r="D49" s="79">
        <v>3.0</v>
      </c>
      <c r="E49" s="79"/>
      <c r="F49" s="92">
        <v>0.0</v>
      </c>
      <c r="G49" s="79"/>
    </row>
    <row r="50">
      <c r="A50" s="81">
        <v>5.0</v>
      </c>
      <c r="B50" s="82" t="str">
        <f>'Sprint Goals'!B6</f>
        <v>Working MVP with FE, CM and 2 Nodes</v>
      </c>
      <c r="D50" s="84"/>
      <c r="E50" s="84"/>
      <c r="F50" s="84"/>
      <c r="G50" s="84"/>
    </row>
    <row r="51">
      <c r="A51" s="79"/>
      <c r="B51" s="79"/>
      <c r="C51" s="79" t="s">
        <v>198</v>
      </c>
      <c r="D51" s="79">
        <v>2.0</v>
      </c>
      <c r="E51" s="79"/>
      <c r="F51" s="79"/>
      <c r="G51" s="79"/>
    </row>
    <row r="52">
      <c r="A52" s="84"/>
      <c r="B52" s="84"/>
      <c r="C52" s="84" t="s">
        <v>199</v>
      </c>
      <c r="D52" s="84">
        <v>3.0</v>
      </c>
      <c r="E52" s="84"/>
      <c r="F52" s="84"/>
      <c r="G52" s="84"/>
    </row>
    <row r="53">
      <c r="A53" s="79"/>
      <c r="B53" s="79"/>
      <c r="C53" s="79" t="s">
        <v>200</v>
      </c>
      <c r="D53" s="79">
        <v>3.0</v>
      </c>
      <c r="E53" s="79"/>
      <c r="F53" s="79"/>
      <c r="G53" s="79"/>
    </row>
    <row r="54">
      <c r="A54" s="84"/>
      <c r="B54" s="84"/>
      <c r="C54" s="84" t="s">
        <v>201</v>
      </c>
      <c r="D54" s="84">
        <v>3.0</v>
      </c>
      <c r="E54" s="84"/>
      <c r="F54" s="84"/>
      <c r="G54" s="84"/>
    </row>
    <row r="55">
      <c r="A55" s="79"/>
      <c r="B55" s="79"/>
      <c r="C55" s="79" t="s">
        <v>202</v>
      </c>
      <c r="D55" s="79">
        <v>3.0</v>
      </c>
      <c r="E55" s="79"/>
      <c r="F55" s="79"/>
      <c r="G55" s="79"/>
    </row>
    <row r="56">
      <c r="A56" s="84"/>
      <c r="B56" s="84"/>
      <c r="C56" s="84" t="s">
        <v>203</v>
      </c>
      <c r="D56" s="84">
        <v>3.0</v>
      </c>
      <c r="E56" s="84"/>
      <c r="F56" s="84"/>
      <c r="G56" s="84"/>
    </row>
    <row r="57">
      <c r="A57" s="79"/>
      <c r="B57" s="79"/>
      <c r="C57" s="79" t="s">
        <v>204</v>
      </c>
      <c r="D57" s="79">
        <v>3.0</v>
      </c>
      <c r="E57" s="79"/>
      <c r="F57" s="79"/>
      <c r="G57" s="79"/>
    </row>
    <row r="58">
      <c r="A58" s="84"/>
      <c r="B58" s="84"/>
      <c r="C58" s="84" t="s">
        <v>205</v>
      </c>
      <c r="D58" s="84">
        <v>3.0</v>
      </c>
      <c r="E58" s="84"/>
      <c r="F58" s="84"/>
      <c r="G58" s="84"/>
    </row>
    <row r="59">
      <c r="A59" s="79"/>
      <c r="B59" s="79"/>
      <c r="C59" s="79" t="s">
        <v>206</v>
      </c>
      <c r="D59" s="79">
        <v>2.0</v>
      </c>
      <c r="E59" s="79"/>
      <c r="F59" s="79"/>
      <c r="G59" s="79"/>
    </row>
    <row r="60">
      <c r="A60" s="84"/>
      <c r="B60" s="84"/>
      <c r="C60" s="84" t="s">
        <v>207</v>
      </c>
      <c r="D60" s="84">
        <v>5.0</v>
      </c>
      <c r="E60" s="84"/>
      <c r="F60" s="84"/>
      <c r="G60" s="84"/>
    </row>
    <row r="61">
      <c r="A61" s="79"/>
      <c r="B61" s="79"/>
      <c r="C61" s="79" t="s">
        <v>208</v>
      </c>
      <c r="D61" s="79">
        <v>5.0</v>
      </c>
      <c r="E61" s="79"/>
      <c r="F61" s="79"/>
      <c r="G61" s="79"/>
    </row>
    <row r="62">
      <c r="A62" s="84"/>
      <c r="B62" s="84"/>
      <c r="C62" s="84" t="s">
        <v>209</v>
      </c>
      <c r="D62" s="84">
        <v>3.0</v>
      </c>
      <c r="E62" s="84"/>
      <c r="F62" s="84"/>
      <c r="G62" s="84"/>
    </row>
    <row r="63">
      <c r="A63" s="72"/>
      <c r="B63" s="89"/>
      <c r="C63" s="36" t="s">
        <v>210</v>
      </c>
      <c r="D63" s="59">
        <v>3.0</v>
      </c>
      <c r="E63" s="36"/>
      <c r="F63" s="36"/>
      <c r="G63" s="36"/>
    </row>
    <row r="64">
      <c r="A64" s="70">
        <v>6.0</v>
      </c>
      <c r="B64" s="82" t="str">
        <f>'Sprint Goals'!B7</f>
        <v>Mid-Project Release</v>
      </c>
      <c r="D64" s="35"/>
      <c r="E64" s="35"/>
      <c r="F64" s="35"/>
      <c r="G64" s="35"/>
    </row>
    <row r="65">
      <c r="A65" s="64"/>
      <c r="B65" s="89"/>
      <c r="C65" s="80" t="s">
        <v>198</v>
      </c>
      <c r="D65" s="66">
        <v>2.0</v>
      </c>
      <c r="E65" s="36"/>
      <c r="F65" s="36"/>
      <c r="G65" s="36"/>
    </row>
    <row r="66">
      <c r="A66" s="87"/>
      <c r="B66" s="88"/>
      <c r="C66" s="84" t="s">
        <v>204</v>
      </c>
      <c r="D66" s="71">
        <v>3.0</v>
      </c>
      <c r="E66" s="35"/>
      <c r="F66" s="35"/>
      <c r="G66" s="35"/>
    </row>
    <row r="67">
      <c r="A67" s="79"/>
      <c r="B67" s="79"/>
      <c r="C67" s="36" t="s">
        <v>210</v>
      </c>
      <c r="D67" s="92">
        <v>3.0</v>
      </c>
      <c r="E67" s="79"/>
      <c r="F67" s="79"/>
      <c r="G67" s="79"/>
    </row>
    <row r="68">
      <c r="A68" s="84"/>
      <c r="B68" s="84"/>
      <c r="C68" s="84" t="s">
        <v>205</v>
      </c>
      <c r="D68" s="93">
        <v>3.0</v>
      </c>
      <c r="E68" s="84"/>
      <c r="F68" s="84"/>
      <c r="G68" s="84"/>
    </row>
    <row r="69">
      <c r="A69" s="79"/>
      <c r="B69" s="79"/>
      <c r="C69" s="79" t="s">
        <v>208</v>
      </c>
      <c r="D69" s="94">
        <v>5.0</v>
      </c>
      <c r="E69" s="79"/>
      <c r="F69" s="79"/>
      <c r="G69" s="79"/>
    </row>
    <row r="70">
      <c r="A70" s="84"/>
      <c r="B70" s="84"/>
      <c r="C70" s="84" t="s">
        <v>209</v>
      </c>
      <c r="D70" s="93">
        <v>3.0</v>
      </c>
      <c r="E70" s="84"/>
      <c r="F70" s="84"/>
      <c r="G70" s="84"/>
    </row>
    <row r="71">
      <c r="A71" s="79"/>
      <c r="B71" s="79"/>
      <c r="C71" s="92" t="s">
        <v>211</v>
      </c>
      <c r="D71" s="92">
        <v>5.0</v>
      </c>
      <c r="E71" s="79"/>
      <c r="F71" s="79"/>
      <c r="G71" s="79"/>
    </row>
    <row r="72">
      <c r="A72" s="84"/>
      <c r="B72" s="84"/>
      <c r="C72" s="93" t="s">
        <v>212</v>
      </c>
      <c r="D72" s="93">
        <v>5.0</v>
      </c>
      <c r="E72" s="84"/>
      <c r="F72" s="84"/>
      <c r="G72" s="84"/>
    </row>
    <row r="73">
      <c r="A73" s="79"/>
      <c r="B73" s="79"/>
      <c r="C73" s="79"/>
      <c r="D73" s="79"/>
      <c r="E73" s="79"/>
      <c r="F73" s="79"/>
      <c r="G73" s="79"/>
    </row>
    <row r="74">
      <c r="A74" s="84"/>
      <c r="B74" s="84"/>
      <c r="C74" s="84"/>
      <c r="D74" s="84"/>
      <c r="E74" s="84"/>
      <c r="F74" s="84"/>
      <c r="G74" s="84"/>
    </row>
    <row r="75">
      <c r="A75" s="79"/>
      <c r="B75" s="79"/>
      <c r="C75" s="79"/>
      <c r="D75" s="79"/>
      <c r="E75" s="79"/>
      <c r="F75" s="79"/>
      <c r="G75" s="79"/>
    </row>
    <row r="76">
      <c r="A76" s="84"/>
      <c r="B76" s="84"/>
      <c r="C76" s="84"/>
      <c r="D76" s="84"/>
      <c r="E76" s="84"/>
      <c r="F76" s="84"/>
      <c r="G76" s="84"/>
    </row>
    <row r="77">
      <c r="A77" s="79"/>
      <c r="B77" s="79"/>
      <c r="C77" s="79"/>
      <c r="D77" s="79"/>
      <c r="E77" s="79"/>
      <c r="F77" s="79"/>
      <c r="G77" s="79"/>
    </row>
    <row r="78">
      <c r="A78" s="84"/>
      <c r="B78" s="84"/>
      <c r="C78" s="84"/>
      <c r="D78" s="84"/>
      <c r="E78" s="84"/>
      <c r="F78" s="84"/>
      <c r="G78" s="84"/>
    </row>
    <row r="79">
      <c r="A79" s="79"/>
      <c r="B79" s="79"/>
      <c r="C79" s="79"/>
      <c r="D79" s="79"/>
      <c r="E79" s="79"/>
      <c r="F79" s="79"/>
      <c r="G79" s="79"/>
    </row>
    <row r="80">
      <c r="A80" s="84"/>
      <c r="B80" s="84"/>
      <c r="C80" s="84"/>
      <c r="D80" s="84"/>
      <c r="E80" s="84"/>
      <c r="F80" s="84"/>
      <c r="G80" s="84"/>
    </row>
    <row r="81">
      <c r="A81" s="79"/>
      <c r="B81" s="79"/>
      <c r="C81" s="79"/>
      <c r="D81" s="79"/>
      <c r="E81" s="79"/>
      <c r="F81" s="79"/>
      <c r="G81" s="79"/>
    </row>
    <row r="82">
      <c r="A82" s="84"/>
      <c r="B82" s="84"/>
      <c r="C82" s="84"/>
      <c r="D82" s="84"/>
      <c r="E82" s="84"/>
      <c r="F82" s="84"/>
      <c r="G82" s="84"/>
    </row>
    <row r="83">
      <c r="A83" s="79"/>
      <c r="B83" s="79"/>
      <c r="C83" s="79"/>
      <c r="D83" s="79"/>
      <c r="E83" s="79"/>
      <c r="F83" s="79"/>
      <c r="G83" s="79"/>
    </row>
    <row r="84">
      <c r="A84" s="84"/>
      <c r="B84" s="84"/>
      <c r="C84" s="84"/>
      <c r="D84" s="84"/>
      <c r="E84" s="84"/>
      <c r="F84" s="84"/>
      <c r="G84" s="84"/>
    </row>
    <row r="85">
      <c r="A85" s="79"/>
      <c r="B85" s="79"/>
      <c r="C85" s="95" t="s">
        <v>213</v>
      </c>
      <c r="D85" s="79"/>
      <c r="E85" s="79"/>
      <c r="F85" s="79"/>
      <c r="G85" s="79"/>
    </row>
    <row r="86">
      <c r="A86" s="87"/>
      <c r="B86" s="88"/>
      <c r="C86" s="35"/>
      <c r="D86" s="35"/>
      <c r="E86" s="35"/>
      <c r="F86" s="35"/>
      <c r="G86" s="35"/>
    </row>
  </sheetData>
  <mergeCells count="11">
    <mergeCell ref="B21:C21"/>
    <mergeCell ref="B29:C29"/>
    <mergeCell ref="B50:C50"/>
    <mergeCell ref="B64:C64"/>
    <mergeCell ref="B9:C9"/>
    <mergeCell ref="B10:C10"/>
    <mergeCell ref="B11:C11"/>
    <mergeCell ref="B12:C12"/>
    <mergeCell ref="B13:C13"/>
    <mergeCell ref="B14:C14"/>
    <mergeCell ref="B18:C18"/>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214</v>
      </c>
    </row>
    <row r="2">
      <c r="A2">
        <f>'Mid-Project Release plan'!D5</f>
        <v>125</v>
      </c>
      <c r="B2">
        <f>'Velocity Chart'!B5</f>
        <v>15.66666667</v>
      </c>
    </row>
    <row r="3">
      <c r="A3">
        <f t="shared" ref="A3:A8" si="1">A2-B2</f>
        <v>109.3333333</v>
      </c>
      <c r="B3">
        <f>'Velocity Chart'!B6</f>
        <v>15.66666667</v>
      </c>
    </row>
    <row r="4">
      <c r="A4">
        <f t="shared" si="1"/>
        <v>93.66666667</v>
      </c>
      <c r="B4">
        <f>'Velocity Chart'!B7</f>
        <v>15.66666667</v>
      </c>
    </row>
    <row r="5">
      <c r="A5">
        <f t="shared" si="1"/>
        <v>78</v>
      </c>
      <c r="B5">
        <f>'Velocity Chart'!B8</f>
        <v>15.66666667</v>
      </c>
    </row>
    <row r="6">
      <c r="A6">
        <f t="shared" si="1"/>
        <v>62.33333333</v>
      </c>
      <c r="B6">
        <f>'Velocity Chart'!B9</f>
        <v>15.66666667</v>
      </c>
    </row>
    <row r="7">
      <c r="A7">
        <f t="shared" si="1"/>
        <v>46.66666667</v>
      </c>
      <c r="B7">
        <f>'Velocity Chart'!B10</f>
        <v>15.66666667</v>
      </c>
    </row>
    <row r="8">
      <c r="A8">
        <f t="shared" si="1"/>
        <v>31</v>
      </c>
      <c r="B8">
        <f>'Velocity Chart'!B11</f>
        <v>15.66666667</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8" t="s">
        <v>161</v>
      </c>
      <c r="B1" s="96" t="s">
        <v>163</v>
      </c>
      <c r="C1" s="50" t="s">
        <v>164</v>
      </c>
      <c r="D1" s="51" t="s">
        <v>165</v>
      </c>
      <c r="E1" s="51" t="s">
        <v>166</v>
      </c>
      <c r="F1" s="51" t="s">
        <v>167</v>
      </c>
      <c r="G1" s="51" t="s">
        <v>168</v>
      </c>
    </row>
    <row r="2">
      <c r="A2" s="52"/>
      <c r="B2" s="35"/>
      <c r="C2" s="35"/>
      <c r="D2" s="35"/>
      <c r="E2" s="35"/>
      <c r="F2" s="35"/>
      <c r="G2" s="35"/>
    </row>
    <row r="3">
      <c r="A3" s="54" t="s">
        <v>169</v>
      </c>
      <c r="B3" s="56"/>
      <c r="C3" s="56"/>
      <c r="D3" s="56"/>
      <c r="E3" s="56"/>
      <c r="F3" s="56"/>
      <c r="G3" s="56"/>
    </row>
    <row r="4">
      <c r="A4" s="52"/>
      <c r="B4" s="35"/>
      <c r="C4" s="35"/>
      <c r="D4" s="35"/>
      <c r="E4" s="35"/>
      <c r="F4" s="35"/>
      <c r="G4" s="35"/>
    </row>
    <row r="5">
      <c r="A5" s="57" t="s">
        <v>170</v>
      </c>
      <c r="B5" s="36"/>
      <c r="C5" s="36"/>
      <c r="D5" s="59">
        <f>sum(D8:D13)</f>
        <v>0</v>
      </c>
      <c r="E5" s="59">
        <f>D5</f>
        <v>0</v>
      </c>
      <c r="F5" s="36"/>
      <c r="G5" s="36"/>
    </row>
    <row r="6">
      <c r="A6" s="52"/>
      <c r="B6" s="35"/>
      <c r="C6" s="35"/>
      <c r="D6" s="35"/>
      <c r="E6" s="35"/>
      <c r="F6" s="35"/>
      <c r="G6" s="35"/>
    </row>
    <row r="7">
      <c r="A7" s="60" t="s">
        <v>171</v>
      </c>
      <c r="B7" s="97"/>
      <c r="C7" s="62"/>
      <c r="D7" s="62"/>
      <c r="E7" s="62"/>
      <c r="F7" s="62"/>
      <c r="G7" s="62"/>
    </row>
    <row r="8">
      <c r="A8" s="52"/>
      <c r="B8" s="35"/>
      <c r="C8" s="35"/>
      <c r="D8" s="35"/>
      <c r="E8" s="63" t="s">
        <v>172</v>
      </c>
      <c r="F8" s="35"/>
      <c r="G8" s="63" t="s">
        <v>173</v>
      </c>
    </row>
    <row r="9">
      <c r="A9" s="64">
        <v>1.0</v>
      </c>
      <c r="B9" s="36"/>
      <c r="C9" s="36"/>
      <c r="D9" s="59">
        <f>sum(D16:D21)</f>
        <v>0</v>
      </c>
      <c r="E9" s="59">
        <f>$D$5</f>
        <v>0</v>
      </c>
      <c r="F9" s="59">
        <f>sum(F16:F21)</f>
        <v>0</v>
      </c>
      <c r="G9" s="59">
        <f>$D$5</f>
        <v>0</v>
      </c>
    </row>
    <row r="10">
      <c r="A10" s="52">
        <f t="shared" ref="A10:A11" si="1">A9+1</f>
        <v>2</v>
      </c>
      <c r="B10" s="35"/>
      <c r="C10" s="35"/>
      <c r="D10" s="69">
        <f>sum(D22:D27)</f>
        <v>0</v>
      </c>
      <c r="E10" s="69">
        <f t="shared" ref="E10:E12" si="2">E9-D9</f>
        <v>0</v>
      </c>
      <c r="F10" s="69">
        <f>sum(F22:F27)</f>
        <v>0</v>
      </c>
      <c r="G10" s="69">
        <f t="shared" ref="G10:G12" si="3">G9-F9</f>
        <v>0</v>
      </c>
    </row>
    <row r="11">
      <c r="A11" s="64">
        <f t="shared" si="1"/>
        <v>3</v>
      </c>
      <c r="B11" s="36"/>
      <c r="C11" s="36"/>
      <c r="D11" s="59">
        <f>sum(D28:D33)</f>
        <v>0</v>
      </c>
      <c r="E11" s="59">
        <f t="shared" si="2"/>
        <v>0</v>
      </c>
      <c r="F11" s="59">
        <f>sum(F28:F33)</f>
        <v>0</v>
      </c>
      <c r="G11" s="59">
        <f t="shared" si="3"/>
        <v>0</v>
      </c>
    </row>
    <row r="12">
      <c r="A12" s="70" t="s">
        <v>215</v>
      </c>
      <c r="B12" s="35"/>
      <c r="C12" s="35"/>
      <c r="D12" s="35"/>
      <c r="E12" s="69">
        <f t="shared" si="2"/>
        <v>0</v>
      </c>
      <c r="F12" s="35"/>
      <c r="G12" s="69">
        <f t="shared" si="3"/>
        <v>0</v>
      </c>
    </row>
    <row r="13">
      <c r="A13" s="64"/>
      <c r="B13" s="36"/>
      <c r="C13" s="36"/>
      <c r="D13" s="36"/>
      <c r="E13" s="36"/>
      <c r="F13" s="36"/>
      <c r="G13" s="36"/>
    </row>
    <row r="14">
      <c r="A14" s="76" t="s">
        <v>174</v>
      </c>
      <c r="B14" s="77"/>
      <c r="C14" s="78"/>
      <c r="D14" s="78"/>
      <c r="E14" s="78"/>
      <c r="F14" s="78"/>
      <c r="G14" s="78"/>
    </row>
    <row r="15">
      <c r="A15" s="64"/>
      <c r="B15" s="36"/>
      <c r="C15" s="36"/>
      <c r="D15" s="36"/>
      <c r="E15" s="36"/>
      <c r="F15" s="36"/>
      <c r="G15" s="36"/>
    </row>
    <row r="16">
      <c r="A16" s="98">
        <f>A9</f>
        <v>1</v>
      </c>
      <c r="B16" s="35"/>
      <c r="C16" s="35"/>
      <c r="D16" s="35"/>
      <c r="E16" s="35"/>
      <c r="F16" s="35"/>
      <c r="G16" s="35"/>
    </row>
    <row r="17">
      <c r="A17" s="64"/>
      <c r="B17" s="89"/>
      <c r="C17" s="36"/>
      <c r="D17" s="36"/>
      <c r="E17" s="36"/>
      <c r="F17" s="36"/>
      <c r="G17" s="36"/>
    </row>
    <row r="18">
      <c r="A18" s="52"/>
      <c r="B18" s="31"/>
      <c r="C18" s="88"/>
      <c r="D18" s="99"/>
      <c r="E18" s="53"/>
      <c r="F18" s="99"/>
      <c r="G18" s="53"/>
    </row>
    <row r="19">
      <c r="A19" s="64"/>
      <c r="B19" s="36"/>
      <c r="C19" s="36"/>
      <c r="D19" s="59"/>
      <c r="E19" s="36"/>
      <c r="F19" s="59"/>
      <c r="G19" s="36"/>
    </row>
    <row r="20">
      <c r="A20" s="87"/>
      <c r="B20" s="35"/>
      <c r="C20" s="88"/>
      <c r="D20" s="69"/>
      <c r="E20" s="88"/>
      <c r="F20" s="69"/>
      <c r="G20" s="88"/>
    </row>
    <row r="21">
      <c r="A21" s="64"/>
      <c r="B21" s="36"/>
      <c r="C21" s="36"/>
      <c r="D21" s="59"/>
      <c r="E21" s="36"/>
      <c r="F21" s="59"/>
      <c r="G21" s="36"/>
    </row>
    <row r="22">
      <c r="A22" s="98">
        <f>A10</f>
        <v>2</v>
      </c>
      <c r="B22" s="35"/>
      <c r="C22" s="35"/>
      <c r="D22" s="35"/>
      <c r="E22" s="35"/>
      <c r="F22" s="35"/>
      <c r="G22" s="35"/>
    </row>
    <row r="23">
      <c r="A23" s="64"/>
      <c r="B23" s="89"/>
      <c r="C23" s="36"/>
      <c r="D23" s="36"/>
      <c r="E23" s="36"/>
      <c r="F23" s="36"/>
      <c r="G23" s="36"/>
    </row>
    <row r="24">
      <c r="A24" s="87"/>
      <c r="B24" s="35"/>
      <c r="C24" s="88"/>
      <c r="D24" s="69"/>
      <c r="E24" s="88"/>
      <c r="F24" s="69"/>
      <c r="G24" s="88"/>
    </row>
    <row r="25">
      <c r="A25" s="64"/>
      <c r="B25" s="36"/>
      <c r="C25" s="36"/>
      <c r="D25" s="59"/>
      <c r="E25" s="36"/>
      <c r="F25" s="59"/>
      <c r="G25" s="36"/>
    </row>
    <row r="26">
      <c r="A26" s="87"/>
      <c r="B26" s="35"/>
      <c r="C26" s="88"/>
      <c r="D26" s="69"/>
      <c r="E26" s="88"/>
      <c r="F26" s="69"/>
      <c r="G26" s="88"/>
    </row>
    <row r="27">
      <c r="A27" s="64"/>
      <c r="B27" s="36"/>
      <c r="C27" s="36"/>
      <c r="D27" s="59"/>
      <c r="E27" s="36"/>
      <c r="F27" s="59"/>
      <c r="G27" s="36"/>
    </row>
    <row r="28">
      <c r="A28" s="98">
        <f>A11</f>
        <v>3</v>
      </c>
      <c r="B28" s="35"/>
      <c r="C28" s="35"/>
      <c r="D28" s="35"/>
      <c r="E28" s="35"/>
      <c r="F28" s="35"/>
      <c r="G28" s="35"/>
    </row>
    <row r="29">
      <c r="A29" s="64"/>
      <c r="B29" s="89"/>
      <c r="C29" s="36"/>
      <c r="D29" s="36"/>
      <c r="E29" s="36"/>
      <c r="F29" s="36"/>
      <c r="G29" s="36"/>
    </row>
    <row r="30">
      <c r="A30" s="87"/>
      <c r="B30" s="35"/>
      <c r="C30" s="88"/>
      <c r="D30" s="69"/>
      <c r="E30" s="88"/>
      <c r="F30" s="88"/>
      <c r="G30" s="88"/>
    </row>
    <row r="31">
      <c r="A31" s="64"/>
      <c r="B31" s="36"/>
      <c r="C31" s="36"/>
      <c r="D31" s="59"/>
      <c r="E31" s="36"/>
      <c r="F31" s="36"/>
      <c r="G31" s="36"/>
    </row>
    <row r="32">
      <c r="A32" s="87"/>
      <c r="B32" s="35"/>
      <c r="C32" s="35"/>
      <c r="D32" s="69"/>
      <c r="E32" s="88"/>
      <c r="F32" s="88"/>
      <c r="G32" s="88"/>
    </row>
    <row r="33">
      <c r="A33" s="64"/>
      <c r="B33" s="36"/>
      <c r="C33" s="100" t="s">
        <v>213</v>
      </c>
      <c r="D33" s="59"/>
      <c r="E33" s="36"/>
      <c r="F33" s="36"/>
      <c r="G33" s="36"/>
    </row>
    <row r="34">
      <c r="A34" s="87"/>
      <c r="B34" s="35"/>
      <c r="C34" s="35"/>
      <c r="D34" s="35"/>
      <c r="E34" s="35"/>
      <c r="F34" s="35"/>
      <c r="G34" s="35"/>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0.5"/>
    <col customWidth="1" min="3" max="3" width="59.5"/>
    <col customWidth="1" min="4" max="4" width="40.13"/>
  </cols>
  <sheetData>
    <row r="1">
      <c r="A1" s="101" t="s">
        <v>60</v>
      </c>
      <c r="B1" s="49" t="s">
        <v>216</v>
      </c>
      <c r="C1" s="49" t="s">
        <v>217</v>
      </c>
      <c r="D1" s="102" t="s">
        <v>218</v>
      </c>
    </row>
    <row r="2">
      <c r="A2" s="3"/>
      <c r="B2" s="2" t="s">
        <v>219</v>
      </c>
      <c r="C2" s="2" t="s">
        <v>220</v>
      </c>
      <c r="D2" s="2" t="s">
        <v>221</v>
      </c>
    </row>
    <row r="3">
      <c r="A3" s="3"/>
      <c r="B3" s="2" t="s">
        <v>222</v>
      </c>
      <c r="C3" s="2" t="s">
        <v>223</v>
      </c>
      <c r="D3" s="2" t="s">
        <v>224</v>
      </c>
    </row>
    <row r="4">
      <c r="A4" s="3"/>
      <c r="B4" s="2" t="s">
        <v>225</v>
      </c>
      <c r="C4" s="2" t="s">
        <v>226</v>
      </c>
      <c r="D4" s="2" t="s">
        <v>227</v>
      </c>
    </row>
    <row r="5">
      <c r="A5" s="3"/>
      <c r="B5" s="2" t="s">
        <v>228</v>
      </c>
      <c r="C5" s="2" t="s">
        <v>229</v>
      </c>
      <c r="D5" s="2" t="s">
        <v>230</v>
      </c>
    </row>
    <row r="6">
      <c r="A6" s="3"/>
      <c r="B6" s="2" t="s">
        <v>231</v>
      </c>
      <c r="C6" s="2" t="s">
        <v>232</v>
      </c>
      <c r="D6" s="3"/>
    </row>
    <row r="7">
      <c r="A7" s="3"/>
      <c r="B7" s="2" t="s">
        <v>233</v>
      </c>
      <c r="C7" s="3"/>
      <c r="D7" s="3"/>
    </row>
    <row r="8">
      <c r="A8" s="3"/>
      <c r="B8" s="2"/>
      <c r="C8" s="3"/>
      <c r="D8" s="3"/>
    </row>
    <row r="9">
      <c r="A9" s="3"/>
      <c r="B9" s="2"/>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234</v>
      </c>
      <c r="B1" s="4" t="s">
        <v>235</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1" t="s">
        <v>60</v>
      </c>
      <c r="B1" s="4" t="s">
        <v>236</v>
      </c>
      <c r="C1" s="4" t="s">
        <v>237</v>
      </c>
      <c r="D1" s="4" t="s">
        <v>238</v>
      </c>
      <c r="E1" s="4" t="s">
        <v>239</v>
      </c>
      <c r="F1" s="4" t="s">
        <v>67</v>
      </c>
    </row>
    <row r="2">
      <c r="A2" s="2">
        <v>1.0</v>
      </c>
      <c r="B2" s="2" t="s">
        <v>240</v>
      </c>
      <c r="C2" s="2" t="s">
        <v>241</v>
      </c>
      <c r="D2" s="2" t="s">
        <v>242</v>
      </c>
      <c r="E2" s="2" t="s">
        <v>243</v>
      </c>
      <c r="F2" s="2" t="s">
        <v>244</v>
      </c>
    </row>
    <row r="3">
      <c r="A3" s="2">
        <v>2.0</v>
      </c>
      <c r="B3" s="2" t="s">
        <v>240</v>
      </c>
      <c r="C3" s="2" t="s">
        <v>245</v>
      </c>
      <c r="D3" s="2" t="s">
        <v>246</v>
      </c>
      <c r="E3" s="2" t="s">
        <v>243</v>
      </c>
      <c r="F3" s="2" t="s">
        <v>247</v>
      </c>
    </row>
    <row r="4">
      <c r="A4" s="2">
        <v>3.0</v>
      </c>
      <c r="B4" s="2" t="s">
        <v>240</v>
      </c>
      <c r="C4" s="2" t="s">
        <v>248</v>
      </c>
      <c r="D4" s="2" t="s">
        <v>249</v>
      </c>
      <c r="E4" s="2" t="s">
        <v>243</v>
      </c>
      <c r="F4" s="3"/>
    </row>
    <row r="5">
      <c r="A5" s="2">
        <v>4.0</v>
      </c>
      <c r="B5" s="2" t="s">
        <v>240</v>
      </c>
      <c r="C5" s="2" t="s">
        <v>250</v>
      </c>
      <c r="D5" s="2" t="s">
        <v>251</v>
      </c>
      <c r="E5" s="2" t="s">
        <v>252</v>
      </c>
      <c r="F5" s="3"/>
    </row>
    <row r="6">
      <c r="A6" s="2">
        <v>5.0</v>
      </c>
      <c r="B6" s="2" t="s">
        <v>240</v>
      </c>
      <c r="C6" s="2" t="s">
        <v>253</v>
      </c>
      <c r="D6" s="2" t="s">
        <v>254</v>
      </c>
      <c r="E6" s="2" t="s">
        <v>243</v>
      </c>
      <c r="F6" s="3"/>
    </row>
    <row r="7">
      <c r="A7" s="2">
        <v>6.0</v>
      </c>
      <c r="B7" s="2" t="s">
        <v>240</v>
      </c>
      <c r="C7" s="2" t="s">
        <v>255</v>
      </c>
      <c r="D7" s="2" t="s">
        <v>256</v>
      </c>
      <c r="E7" s="2" t="s">
        <v>243</v>
      </c>
      <c r="F7" s="3"/>
    </row>
    <row r="8">
      <c r="A8" s="2">
        <v>7.0</v>
      </c>
      <c r="B8" s="2" t="s">
        <v>240</v>
      </c>
      <c r="C8" s="2" t="s">
        <v>257</v>
      </c>
      <c r="D8" s="2" t="s">
        <v>258</v>
      </c>
      <c r="E8" s="2" t="s">
        <v>243</v>
      </c>
      <c r="F8" s="3"/>
    </row>
    <row r="9">
      <c r="A9" s="2">
        <v>8.0</v>
      </c>
      <c r="B9" s="2" t="s">
        <v>240</v>
      </c>
      <c r="C9" s="2" t="s">
        <v>259</v>
      </c>
      <c r="D9" s="2" t="s">
        <v>260</v>
      </c>
      <c r="E9" s="2" t="s">
        <v>243</v>
      </c>
      <c r="F9" s="3"/>
    </row>
    <row r="10">
      <c r="A10" s="2">
        <v>9.0</v>
      </c>
      <c r="B10" s="2" t="s">
        <v>240</v>
      </c>
      <c r="C10" s="2" t="s">
        <v>261</v>
      </c>
      <c r="D10" s="2" t="s">
        <v>262</v>
      </c>
      <c r="E10" s="2" t="s">
        <v>243</v>
      </c>
      <c r="F10" s="3"/>
    </row>
    <row r="11">
      <c r="A11" s="2">
        <v>10.0</v>
      </c>
      <c r="B11" s="2" t="s">
        <v>240</v>
      </c>
      <c r="C11" s="2" t="s">
        <v>263</v>
      </c>
      <c r="D11" s="2" t="s">
        <v>264</v>
      </c>
      <c r="E11" s="2" t="s">
        <v>243</v>
      </c>
      <c r="F11" s="3"/>
    </row>
    <row r="12">
      <c r="A12" s="2">
        <v>11.0</v>
      </c>
      <c r="B12" s="2" t="s">
        <v>240</v>
      </c>
      <c r="C12" s="2" t="s">
        <v>265</v>
      </c>
      <c r="D12" s="2" t="s">
        <v>266</v>
      </c>
      <c r="E12" s="2" t="s">
        <v>243</v>
      </c>
      <c r="F12" s="3"/>
    </row>
    <row r="13">
      <c r="A13" s="2">
        <v>12.0</v>
      </c>
      <c r="B13" s="2" t="s">
        <v>240</v>
      </c>
      <c r="C13" s="2" t="s">
        <v>267</v>
      </c>
      <c r="D13" s="2" t="s">
        <v>268</v>
      </c>
      <c r="E13" s="2" t="s">
        <v>243</v>
      </c>
      <c r="F13" s="3"/>
    </row>
    <row r="14">
      <c r="A14" s="2">
        <v>13.0</v>
      </c>
      <c r="B14" s="2" t="s">
        <v>240</v>
      </c>
      <c r="C14" s="2" t="s">
        <v>269</v>
      </c>
      <c r="D14" s="2" t="s">
        <v>270</v>
      </c>
      <c r="E14" s="2" t="s">
        <v>252</v>
      </c>
      <c r="F14" s="3"/>
    </row>
    <row r="15">
      <c r="A15" s="2">
        <v>14.0</v>
      </c>
      <c r="B15" s="2" t="s">
        <v>271</v>
      </c>
      <c r="C15" s="2" t="s">
        <v>272</v>
      </c>
      <c r="D15" s="2" t="s">
        <v>273</v>
      </c>
      <c r="E15" s="2" t="s">
        <v>274</v>
      </c>
      <c r="F15" s="3"/>
    </row>
    <row r="16">
      <c r="A16" s="2">
        <v>15.0</v>
      </c>
      <c r="B16" s="2" t="s">
        <v>271</v>
      </c>
      <c r="C16" s="2" t="s">
        <v>275</v>
      </c>
      <c r="D16" s="2" t="s">
        <v>276</v>
      </c>
      <c r="E16" s="2" t="s">
        <v>277</v>
      </c>
      <c r="F16" s="3"/>
    </row>
    <row r="17">
      <c r="A17" s="2">
        <v>16.0</v>
      </c>
      <c r="B17" s="2" t="s">
        <v>271</v>
      </c>
      <c r="C17" s="2" t="s">
        <v>278</v>
      </c>
      <c r="D17" s="2" t="s">
        <v>279</v>
      </c>
      <c r="E17" s="2" t="s">
        <v>280</v>
      </c>
      <c r="F17" s="3"/>
    </row>
    <row r="18">
      <c r="A18" s="2">
        <v>17.0</v>
      </c>
      <c r="B18" s="2" t="s">
        <v>271</v>
      </c>
      <c r="C18" s="2" t="s">
        <v>281</v>
      </c>
      <c r="D18" s="2" t="s">
        <v>282</v>
      </c>
      <c r="E18" s="2" t="s">
        <v>252</v>
      </c>
      <c r="F18" s="3"/>
    </row>
    <row r="19">
      <c r="A19" s="2">
        <v>18.0</v>
      </c>
      <c r="B19" s="9" t="s">
        <v>271</v>
      </c>
      <c r="C19" s="9" t="s">
        <v>283</v>
      </c>
      <c r="D19" s="9" t="s">
        <v>284</v>
      </c>
      <c r="E19" s="9" t="s">
        <v>252</v>
      </c>
      <c r="F19" s="3"/>
    </row>
    <row r="20">
      <c r="A20" s="2">
        <v>19.0</v>
      </c>
      <c r="B20" s="2" t="s">
        <v>271</v>
      </c>
      <c r="C20" s="2" t="s">
        <v>285</v>
      </c>
      <c r="D20" s="2" t="s">
        <v>286</v>
      </c>
      <c r="E20" s="2" t="s">
        <v>252</v>
      </c>
      <c r="F20" s="3"/>
    </row>
    <row r="21">
      <c r="A21" s="3"/>
      <c r="B21" s="3"/>
      <c r="C21" s="3"/>
      <c r="D21" s="3"/>
      <c r="E21" s="3"/>
      <c r="F21" s="3"/>
    </row>
    <row r="22">
      <c r="A22" s="3"/>
      <c r="B22" s="3"/>
      <c r="C22" s="3"/>
      <c r="D22" s="3"/>
      <c r="E22" s="3"/>
      <c r="F22" s="2"/>
    </row>
    <row r="23">
      <c r="A23" s="3"/>
      <c r="B23" s="3"/>
      <c r="C23" s="3"/>
      <c r="D23" s="3"/>
      <c r="E23" s="3"/>
      <c r="F23" s="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3" t="str">
        <f>'Project Team'!A1</f>
        <v>Last Name</v>
      </c>
      <c r="B1" s="103" t="str">
        <f>'Project Team'!B1</f>
        <v>First Name</v>
      </c>
      <c r="C1" s="104" t="s">
        <v>287</v>
      </c>
      <c r="D1" s="105"/>
      <c r="E1" s="106"/>
      <c r="F1" s="107"/>
      <c r="G1" s="108"/>
      <c r="H1" s="108"/>
    </row>
    <row r="2">
      <c r="A2" s="109" t="str">
        <f>'Project Team'!A2</f>
        <v>Wysokinska</v>
      </c>
      <c r="B2" s="109" t="str">
        <f>'Project Team'!B2</f>
        <v>Xemena</v>
      </c>
      <c r="C2" s="110"/>
      <c r="D2" s="111"/>
      <c r="E2" s="112">
        <f>average(C2:C10)</f>
        <v>3</v>
      </c>
      <c r="F2" s="113" t="str">
        <f>if(stdev(C2:C6) &gt; 0,"NOK", "OK")</f>
        <v>OK</v>
      </c>
      <c r="G2" s="114"/>
      <c r="H2" s="114"/>
    </row>
    <row r="3">
      <c r="A3" s="115" t="str">
        <f>'Project Team'!A3</f>
        <v>Ostrizki</v>
      </c>
      <c r="B3" s="115" t="str">
        <f>'Project Team'!B3</f>
        <v>Jan</v>
      </c>
      <c r="C3" s="110"/>
      <c r="D3" s="116"/>
      <c r="G3" s="117"/>
      <c r="H3" s="117"/>
    </row>
    <row r="4">
      <c r="A4" s="109" t="str">
        <f>'Project Team'!A4</f>
        <v>Raju</v>
      </c>
      <c r="B4" s="109" t="str">
        <f>'Project Team'!B4</f>
        <v>Robin Jose </v>
      </c>
      <c r="C4" s="110">
        <v>3.0</v>
      </c>
      <c r="D4" s="111"/>
      <c r="G4" s="114"/>
      <c r="H4" s="114"/>
    </row>
    <row r="5">
      <c r="A5" s="115" t="str">
        <f>'Project Team'!A5</f>
        <v>Nogu</v>
      </c>
      <c r="B5" s="115" t="str">
        <f>'Project Team'!B5</f>
        <v>Ervin</v>
      </c>
      <c r="C5" s="110">
        <v>3.0</v>
      </c>
      <c r="D5" s="118"/>
      <c r="E5" s="118"/>
      <c r="F5" s="118"/>
      <c r="G5" s="117"/>
      <c r="H5" s="117"/>
    </row>
    <row r="6">
      <c r="A6" s="109" t="str">
        <f>'Project Team'!A6</f>
        <v>Krüger</v>
      </c>
      <c r="B6" s="109" t="str">
        <f>'Project Team'!B6</f>
        <v>Landolf</v>
      </c>
      <c r="C6" s="110">
        <v>3.0</v>
      </c>
      <c r="D6" s="119"/>
      <c r="E6" s="120">
        <v>0.0</v>
      </c>
      <c r="F6" s="121" t="s">
        <v>288</v>
      </c>
      <c r="G6" s="114"/>
      <c r="H6" s="114"/>
    </row>
    <row r="7">
      <c r="A7" s="115" t="str">
        <f>'Project Team'!A7</f>
        <v>Tröger</v>
      </c>
      <c r="B7" s="115" t="str">
        <f>'Project Team'!B7</f>
        <v>Nicolas</v>
      </c>
      <c r="C7" s="94">
        <v>3.0</v>
      </c>
      <c r="D7" s="118"/>
      <c r="E7" s="120">
        <v>1.0</v>
      </c>
      <c r="F7" s="121" t="s">
        <v>289</v>
      </c>
      <c r="G7" s="117"/>
      <c r="H7" s="117"/>
    </row>
    <row r="8">
      <c r="A8" s="109" t="str">
        <f t="shared" ref="A8:B8" si="1">#REF!</f>
        <v>#REF!</v>
      </c>
      <c r="B8" s="109" t="str">
        <f t="shared" si="1"/>
        <v>#REF!</v>
      </c>
      <c r="C8" s="122"/>
      <c r="D8" s="119"/>
      <c r="E8" s="120">
        <v>2.0</v>
      </c>
      <c r="F8" s="121" t="s">
        <v>290</v>
      </c>
      <c r="G8" s="114"/>
      <c r="H8" s="114"/>
    </row>
    <row r="9">
      <c r="A9" s="115" t="str">
        <f>'Project Team'!A8</f>
        <v>Killer</v>
      </c>
      <c r="B9" s="115" t="str">
        <f>'Project Team'!B8</f>
        <v>Hans</v>
      </c>
      <c r="C9" s="110">
        <v>3.0</v>
      </c>
      <c r="D9" s="118"/>
      <c r="E9" s="120">
        <v>3.0</v>
      </c>
      <c r="F9" s="121" t="s">
        <v>291</v>
      </c>
      <c r="G9" s="117"/>
      <c r="H9" s="117"/>
    </row>
    <row r="10">
      <c r="A10" s="109" t="str">
        <f>'Project Team'!A9</f>
        <v>Schulze</v>
      </c>
      <c r="B10" s="109" t="str">
        <f>'Project Team'!B9</f>
        <v>Levin</v>
      </c>
      <c r="C10" s="110"/>
      <c r="D10" s="119"/>
      <c r="E10" s="120">
        <v>5.0</v>
      </c>
      <c r="F10" s="121" t="s">
        <v>292</v>
      </c>
      <c r="G10" s="114"/>
      <c r="H10" s="114"/>
    </row>
    <row r="11">
      <c r="A11" s="115"/>
      <c r="B11" s="115"/>
      <c r="C11" s="123"/>
      <c r="D11" s="118"/>
      <c r="E11" s="120">
        <v>8.0</v>
      </c>
      <c r="F11" s="121" t="s">
        <v>293</v>
      </c>
      <c r="G11" s="117"/>
      <c r="H11" s="117"/>
    </row>
    <row r="12">
      <c r="A12" s="109"/>
      <c r="B12" s="109"/>
      <c r="C12" s="123"/>
      <c r="D12" s="119"/>
      <c r="E12" s="120">
        <v>13.0</v>
      </c>
      <c r="F12" s="121" t="s">
        <v>294</v>
      </c>
      <c r="G12" s="114"/>
      <c r="H12" s="114"/>
    </row>
    <row r="13">
      <c r="A13" s="115"/>
      <c r="B13" s="115"/>
      <c r="C13" s="118"/>
      <c r="D13" s="118"/>
      <c r="E13" s="118"/>
      <c r="F13" s="118"/>
      <c r="G13" s="117"/>
      <c r="H13" s="117"/>
    </row>
    <row r="14">
      <c r="A14" s="124" t="s">
        <v>295</v>
      </c>
      <c r="B14" s="125"/>
      <c r="C14" s="125"/>
      <c r="D14" s="125"/>
      <c r="E14" s="125"/>
      <c r="F14" s="125"/>
      <c r="G14" s="125"/>
      <c r="H14" s="125"/>
    </row>
    <row r="15">
      <c r="A15" s="58"/>
      <c r="B15" s="58"/>
      <c r="C15" s="58"/>
      <c r="D15" s="58"/>
      <c r="E15" s="58"/>
      <c r="F15" s="58"/>
      <c r="G15" s="58"/>
      <c r="H15" s="58"/>
    </row>
    <row r="16">
      <c r="A16" s="126" t="s">
        <v>296</v>
      </c>
      <c r="B16" s="127"/>
      <c r="C16" s="127"/>
      <c r="D16" s="127"/>
      <c r="E16" s="127"/>
      <c r="F16" s="127"/>
      <c r="G16" s="127"/>
      <c r="H16" s="127"/>
    </row>
    <row r="17">
      <c r="A17" s="128" t="s">
        <v>297</v>
      </c>
      <c r="B17" s="58"/>
      <c r="C17" s="58"/>
      <c r="D17" s="58"/>
      <c r="E17" s="58"/>
      <c r="F17" s="58"/>
      <c r="G17" s="58"/>
      <c r="H17" s="58"/>
    </row>
    <row r="18">
      <c r="A18" s="126" t="s">
        <v>298</v>
      </c>
      <c r="B18" s="127"/>
      <c r="C18" s="127"/>
      <c r="D18" s="127"/>
      <c r="E18" s="127"/>
      <c r="F18" s="127"/>
      <c r="G18" s="127"/>
      <c r="H18" s="127"/>
    </row>
    <row r="19">
      <c r="A19" s="58"/>
      <c r="B19" s="58"/>
      <c r="C19" s="58"/>
      <c r="D19" s="58"/>
      <c r="E19" s="58"/>
      <c r="F19" s="58"/>
      <c r="G19" s="58"/>
      <c r="H19" s="58"/>
    </row>
    <row r="20">
      <c r="A20" s="127"/>
      <c r="B20" s="127"/>
      <c r="C20" s="127"/>
      <c r="D20" s="127"/>
      <c r="E20" s="127"/>
      <c r="F20" s="127"/>
      <c r="G20" s="127"/>
      <c r="H20" s="127"/>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