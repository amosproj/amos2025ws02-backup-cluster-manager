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10.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 Data" sheetId="1" r:id="rId4"/>
    <sheet state="visible" name="Project Team" sheetId="2" r:id="rId5"/>
    <sheet state="visible" name="Role Assignments" sheetId="3" r:id="rId6"/>
    <sheet state="visible" name="Team Contract" sheetId="4" r:id="rId7"/>
    <sheet state="visible" name="Product Goal" sheetId="5" r:id="rId8"/>
    <sheet state="visible" name="Product Glossary" sheetId="6" r:id="rId9"/>
    <sheet state="visible" name="Sprint Goals" sheetId="7" r:id="rId10"/>
    <sheet state="visible" name="Velocity Tracking" sheetId="8" r:id="rId11"/>
    <sheet state="visible" name="Velocity Chart" sheetId="9" r:id="rId12"/>
    <sheet state="visible" name="Mid-Project Release plan" sheetId="10" r:id="rId13"/>
    <sheet state="visible" name="Burn-down Chart (Mid-Project)" sheetId="11" r:id="rId14"/>
    <sheet state="visible" name="Final Project Release plan" sheetId="12" r:id="rId15"/>
    <sheet state="visible" name="Burn-down Chart (Final Release)" sheetId="13" r:id="rId16"/>
    <sheet state="visible" name="Definition of Done" sheetId="14" r:id="rId17"/>
    <sheet state="visible" name="Documentation" sheetId="15" r:id="rId18"/>
    <sheet state="visible" name="Bill of Materials" sheetId="16" r:id="rId19"/>
    <sheet state="visible" name="Planning Poker" sheetId="17" r:id="rId20"/>
  </sheets>
  <definedNames/>
  <calcPr/>
</workbook>
</file>

<file path=xl/sharedStrings.xml><?xml version="1.0" encoding="utf-8"?>
<sst xmlns="http://schemas.openxmlformats.org/spreadsheetml/2006/main" count="742" uniqueCount="460">
  <si>
    <t>Project Name</t>
  </si>
  <si>
    <t>Backup Cluster Manager SEP</t>
  </si>
  <si>
    <t>Online team meeting</t>
  </si>
  <si>
    <t>https://tu-berlin.zoom-x.de/j/66460442542?pwd=6JDdHFzvrTj3bJokdNJSYxHA3b8F6r.1</t>
  </si>
  <si>
    <t>Production system (if any)</t>
  </si>
  <si>
    <t>TBD</t>
  </si>
  <si>
    <t>Test system (if any)</t>
  </si>
  <si>
    <t>GitHub repository</t>
  </si>
  <si>
    <t>https://github.com/amosproj/amos2025ws02-backup-cluster-manager</t>
  </si>
  <si>
    <t>GitHub feature board</t>
  </si>
  <si>
    <t>https://github.com/orgs/amosproj/projects/90</t>
  </si>
  <si>
    <t>GitHub imp-squared backlog</t>
  </si>
  <si>
    <t>https://github.com/orgs/amosproj/projects/94</t>
  </si>
  <si>
    <t>Team T-shirt (white)</t>
  </si>
  <si>
    <t>https://www.shirtinator.de/s/WGBu8LkSRqOJZe-LDXqisw</t>
  </si>
  <si>
    <t>Team T-shirt (black)</t>
  </si>
  <si>
    <t>https://www.shirtinator.de/s/jG2py-QWSDeg3IraRTb-bQ</t>
  </si>
  <si>
    <t>Additional materials</t>
  </si>
  <si>
    <t>Discord</t>
  </si>
  <si>
    <t>https://discord.gg/mhFBrsTx</t>
  </si>
  <si>
    <t>Figma Link Website</t>
  </si>
  <si>
    <t>https://www.figma.com/design/kLihICBMvBVKCodv1OlY4Y/Website-Design?m=auto&amp;t=UItPz3hhwCtSgsc5-1</t>
  </si>
  <si>
    <t>Team maling list</t>
  </si>
  <si>
    <t>oss-amos-proj2@lists.fau.de</t>
  </si>
  <si>
    <t>Last Name</t>
  </si>
  <si>
    <t>First Name</t>
  </si>
  <si>
    <t>GitHub User Name</t>
  </si>
  <si>
    <t>Email Address</t>
  </si>
  <si>
    <t>Wysokinska</t>
  </si>
  <si>
    <t>Xemena</t>
  </si>
  <si>
    <t>xenia1w</t>
  </si>
  <si>
    <t>xenia.wysokinska@gmail.com</t>
  </si>
  <si>
    <t>Ostrizki</t>
  </si>
  <si>
    <t>Jan</t>
  </si>
  <si>
    <t>Stringrimm</t>
  </si>
  <si>
    <t>jan.ostrizki@fau.de</t>
  </si>
  <si>
    <t>Raju</t>
  </si>
  <si>
    <t xml:space="preserve">Robin Jose </t>
  </si>
  <si>
    <t>robinrj6</t>
  </si>
  <si>
    <t>robin.jose.raju@fau.de</t>
  </si>
  <si>
    <t>Nogu</t>
  </si>
  <si>
    <t>Ervin</t>
  </si>
  <si>
    <t>ervinn09</t>
  </si>
  <si>
    <t>ervin.nogu@campus.tu-berlin.de</t>
  </si>
  <si>
    <t>Krüger</t>
  </si>
  <si>
    <t>Landolf</t>
  </si>
  <si>
    <t xml:space="preserve">krueger-hash </t>
  </si>
  <si>
    <t>l.krueger.1@campus.tu-berlin.de</t>
  </si>
  <si>
    <t>Tröger</t>
  </si>
  <si>
    <t>Nicolas</t>
  </si>
  <si>
    <t>fe27hity</t>
  </si>
  <si>
    <t>nico.troeger@fau.de</t>
  </si>
  <si>
    <t>Killer</t>
  </si>
  <si>
    <t>Hans</t>
  </si>
  <si>
    <t>HansKiller-TH</t>
  </si>
  <si>
    <t>hanskiller@web.de</t>
  </si>
  <si>
    <t>Schulze</t>
  </si>
  <si>
    <t>Levin</t>
  </si>
  <si>
    <t>p0d3x</t>
  </si>
  <si>
    <t>Product Owner</t>
  </si>
  <si>
    <t>#</t>
  </si>
  <si>
    <t>Meeting Day</t>
  </si>
  <si>
    <t>Review</t>
  </si>
  <si>
    <t>Planning</t>
  </si>
  <si>
    <t>Software Developer</t>
  </si>
  <si>
    <t>Release Manager</t>
  </si>
  <si>
    <t>Scrum Master</t>
  </si>
  <si>
    <t>Comment</t>
  </si>
  <si>
    <t>-</t>
  </si>
  <si>
    <t>Everyone else</t>
  </si>
  <si>
    <t>Xemena Wysokinska</t>
  </si>
  <si>
    <t>First Meeting</t>
  </si>
  <si>
    <t>Jan Ostrizki</t>
  </si>
  <si>
    <t>Levin Schulze</t>
  </si>
  <si>
    <t>Nicolas Tröger</t>
  </si>
  <si>
    <t>Hans Killer</t>
  </si>
  <si>
    <t>Build Process Review</t>
  </si>
  <si>
    <t>Robin Rose Raju</t>
  </si>
  <si>
    <t>Ervin Nogu</t>
  </si>
  <si>
    <t>Landolf Krüger</t>
  </si>
  <si>
    <t>Mid-term due</t>
  </si>
  <si>
    <t>Demo day!</t>
  </si>
  <si>
    <t>Product owners, software developers, and Scurm Master are set and ideally don't change over time; the critical part is the Release Manager role you need to define here</t>
  </si>
  <si>
    <t>Goals</t>
  </si>
  <si>
    <t xml:space="preserve">Fulfill the needs of our customer (SEP)
Working Prototype
Good team experience
Learn more/Gaining experience about working agile 
Sharing knowledge among each other 
Transparent culture &amp; good communication
Learn how to open-source 
</t>
  </si>
  <si>
    <t>Meeting norms</t>
  </si>
  <si>
    <t>Weeklies: At 12:30 on Wednesday on Zoom (https://tu-berlin.zoom-x.de/j/66460442542?pwd=6JDdHFzvrTj3bJokdNJSYxHA3b8F6r.1) 90 mins.
Weekly/Bi-Weekly Sync with SEP
On time, give notice if someone can’t make/with delay
Raising hands for better communication flow in bigger meetings like e.g. weekly</t>
  </si>
  <si>
    <t>Working norms</t>
  </si>
  <si>
    <t>Developers have a cutoff day a before at noon
Revert if MR if it breaks other code and if there is no time for a fix
Use a CI build/test pipeline
MR with random reviewer (preferably a nominated one)</t>
  </si>
  <si>
    <t>Coordination norms</t>
  </si>
  <si>
    <t xml:space="preserve">Coordination over Discord (https://discord.gg/mhFBrsTx) 
Inform others if you can’t work temporarily </t>
  </si>
  <si>
    <t>Communication norms</t>
  </si>
  <si>
    <t>Communication over mainly on Discord, Email as emergency/backup option
Weekly meeting over Zoom
Use webcams as possible
Special channels for different groups and topics</t>
  </si>
  <si>
    <t>Consideration norms</t>
  </si>
  <si>
    <t>Polite, supportive, respectful, forward, formal &amp; constructive communication
English if at least one nonnative speaker present</t>
  </si>
  <si>
    <t>Cont. improvement norms</t>
  </si>
  <si>
    <t>Try to help each other
Actional item in retro to improve the team
Adapt CI and work along it. Do not try to bypass it. 
Additional channel on Discord if someone needs help</t>
  </si>
  <si>
    <t>Rewards</t>
  </si>
  <si>
    <t xml:space="preserve">Filters on Zoom (SFW!!)
Small tokens
</t>
  </si>
  <si>
    <t>Sanctions</t>
  </si>
  <si>
    <t xml:space="preserve">Not allowed to use video filters or wear a weird hat
Review one additional PR
Problems require intervention worst case with professor 
</t>
  </si>
  <si>
    <t>Signatures</t>
  </si>
  <si>
    <t>Product owner</t>
  </si>
  <si>
    <t>Software developer</t>
  </si>
  <si>
    <t>Robin Jose Raju</t>
  </si>
  <si>
    <t>Product Vision</t>
  </si>
  <si>
    <t>Project Mission</t>
  </si>
  <si>
    <t xml:space="preserve">The Backup Cluster Manager software introduces a distributed approach into a system currently consisting of unconnected nodes . The software should demonstrate the benefits of a distributed approach, and should mirror real life use-cases and scenarios, and the effectiveness of using this approach. By using springboot, it can be easily integrated, and used as basis for enterprise projects while offering a user friendly UI built with Angular &amp; TailwindCSS. 
</t>
  </si>
  <si>
    <t xml:space="preserve">Creating an MVP for our industry partner which implements an alternative approach for managing distributed nodes. It offers an UI for editing and overview data from nodes as well as users and their permissions. The backend simulates backup nodes and how nodes will interact with each other. Frontend communicates with the backend to get/edit/delete data such as users, permissions as well as backups &amp; cluster information. </t>
  </si>
  <si>
    <t>Term</t>
  </si>
  <si>
    <t>Definition</t>
  </si>
  <si>
    <t>Cluster Manager</t>
  </si>
  <si>
    <t>Supervisor instance that manages a set of SEP Sesam server nodes, handles registration of nodes, manipulation and synchronization of e.g. users, groups, and permissions or other meta data. Provides a REST interface for the Frontend and proxies requests to other nodes</t>
  </si>
  <si>
    <t>SEP Sesam</t>
  </si>
  <si>
    <t>SEP's Backup and Recovery software product, backups and restores are managed by a SEP Sesam Server</t>
  </si>
  <si>
    <t>SEP Sesam Server Node, Node</t>
  </si>
  <si>
    <t>Instance of SEP Sesam Server which shall be part of the cluster</t>
  </si>
  <si>
    <t>Cluster Mode</t>
  </si>
  <si>
    <t>Configuration flag on a node, indicating the node should join a cluster. In this mode, permissions and users shall be managed by the cluster manager</t>
  </si>
  <si>
    <t>Supervisor Instance</t>
  </si>
  <si>
    <t>Synonymous with Cluster Manager</t>
  </si>
  <si>
    <t>Node Registration</t>
  </si>
  <si>
    <t>Process of adding a node to a cluster</t>
  </si>
  <si>
    <t>User / Group</t>
  </si>
  <si>
    <t>Authenticated principals that can be created, modified and assigned permissions.</t>
  </si>
  <si>
    <t>Client</t>
  </si>
  <si>
    <t>A system that should be backed up by an SEP Sesam Server (e.g. a person's laptop computer)</t>
  </si>
  <si>
    <t>Frontend, FE</t>
  </si>
  <si>
    <t>The primary web UI, which runs in the browser and communicates with the CM's REST endpoints (directly, or via proxy, LB, etc TBD)</t>
  </si>
  <si>
    <t>Synchronization Process</t>
  </si>
  <si>
    <t>The mechanism of propagating information, such as users, groups, or permissions to downstream nodes</t>
  </si>
  <si>
    <t>Proxy Functionality</t>
  </si>
  <si>
    <t>The ability of issuing requests or listing data from a node via the CM's REST API</t>
  </si>
  <si>
    <t>Backend, BE</t>
  </si>
  <si>
    <t>Application / Code for the Cluster Manager and Simulated Server Node</t>
  </si>
  <si>
    <t>Superuser</t>
  </si>
  <si>
    <t>System user who has all permissions and can create new admins</t>
  </si>
  <si>
    <t>Administrator</t>
  </si>
  <si>
    <t>System users who can do and see everything except create/remove admins</t>
  </si>
  <si>
    <t>Operator</t>
  </si>
  <si>
    <t>System users who can see backups in the FE but not modify anything (read-only user)</t>
  </si>
  <si>
    <t>Restore User</t>
  </si>
  <si>
    <t>System users who can restore backups, no access to user management</t>
  </si>
  <si>
    <t>Backup User</t>
  </si>
  <si>
    <t>System users who can create backups, no access to user management</t>
  </si>
  <si>
    <t>Sprint #</t>
  </si>
  <si>
    <t>Sprint goal</t>
  </si>
  <si>
    <t>None</t>
  </si>
  <si>
    <t>Working MVP with FE, CM and 2 Nodes</t>
  </si>
  <si>
    <t>Mid-Project Release</t>
  </si>
  <si>
    <t>Working Backup Schedules and Mock Tasks</t>
  </si>
  <si>
    <t>Working Permissions / User Groups + Bulk Data</t>
  </si>
  <si>
    <t>Advanced Cluster Management</t>
  </si>
  <si>
    <t>Advanced Cluster Management Pt2</t>
  </si>
  <si>
    <t>Groups/Permissions + Webflux</t>
  </si>
  <si>
    <t>Polishing + Metrics</t>
  </si>
  <si>
    <t>QA/Fixing</t>
  </si>
  <si>
    <t>Final Project Release</t>
  </si>
  <si>
    <t>Story Points Realized</t>
  </si>
  <si>
    <t>Story Points Committed</t>
  </si>
  <si>
    <t>Average Story Points Realized</t>
  </si>
  <si>
    <t>PLEASE CREATE THE VELOCITY CHART ON A NEW TAB USING THE DATA FROM THIS TAB</t>
  </si>
  <si>
    <t>Sprint</t>
  </si>
  <si>
    <t>Average Speed</t>
  </si>
  <si>
    <t>Goal</t>
  </si>
  <si>
    <t>Feature Name</t>
  </si>
  <si>
    <t>Est. size</t>
  </si>
  <si>
    <t>Est. remaining</t>
  </si>
  <si>
    <t>Real size</t>
  </si>
  <si>
    <t>Real remaining</t>
  </si>
  <si>
    <t>Release</t>
  </si>
  <si>
    <t>Total</t>
  </si>
  <si>
    <t>Sprints</t>
  </si>
  <si>
    <t>Estimated burn-down</t>
  </si>
  <si>
    <t>Real burn-down</t>
  </si>
  <si>
    <t>Features</t>
  </si>
  <si>
    <t>Deciding our Tshirt design</t>
  </si>
  <si>
    <t>Deciding our team logo</t>
  </si>
  <si>
    <t>Setup Build Process for Backend</t>
  </si>
  <si>
    <t>Setup Basic Angular Project (Frontend)</t>
  </si>
  <si>
    <t>Create first architecture draft</t>
  </si>
  <si>
    <t>Setup Build Process For Frontend</t>
  </si>
  <si>
    <t>Create Basic Spring Boot Project</t>
  </si>
  <si>
    <t>Define entities for DBs</t>
  </si>
  <si>
    <t>Create Docker Compose Configuration</t>
  </si>
  <si>
    <t>Setup Database and Integrate it</t>
  </si>
  <si>
    <t>Setup Dockerfile (Backend)</t>
  </si>
  <si>
    <t>Create Basic UI Layout</t>
  </si>
  <si>
    <t>Create Overview page</t>
  </si>
  <si>
    <t>Add functionallity to sidebar</t>
  </si>
  <si>
    <t>Create multiple pages for Router Outlet</t>
  </si>
  <si>
    <t>Backend: Create Cluster Manager</t>
  </si>
  <si>
    <t>Frontend: Create Node Tab</t>
  </si>
  <si>
    <t>Backend: Get Nodes API</t>
  </si>
  <si>
    <t>Backend: Get Backups API</t>
  </si>
  <si>
    <t>Frontend: Create Backups Tab</t>
  </si>
  <si>
    <t>Frontend: Header moving while scrolling</t>
  </si>
  <si>
    <t>Add Jacoco To Build And Integrate As Badge</t>
  </si>
  <si>
    <t>Backend: Create User Node</t>
  </si>
  <si>
    <t>Create Documentation</t>
  </si>
  <si>
    <t>Create a test setup with 3 nodes</t>
  </si>
  <si>
    <t>Backend: Create Database</t>
  </si>
  <si>
    <t>Backend: Add Pagination To APIs</t>
  </si>
  <si>
    <t>Implement functions for DB</t>
  </si>
  <si>
    <t>List Users</t>
  </si>
  <si>
    <t>Create / Update / Delete User</t>
  </si>
  <si>
    <t>Filter / Sort Backups</t>
  </si>
  <si>
    <t>Bug: Main is not building</t>
  </si>
  <si>
    <t>Backend: Implement node (un)registration process</t>
  </si>
  <si>
    <t>Create Backup</t>
  </si>
  <si>
    <t>Delete Backup</t>
  </si>
  <si>
    <t>Filter / Sort Nodes</t>
  </si>
  <si>
    <t>Create Build Process Video</t>
  </si>
  <si>
    <t>Basic Backup Schedules</t>
  </si>
  <si>
    <t>Mock Backup Tasks</t>
  </si>
  <si>
    <t>PLEASE CREATE THE BURNDOWN CHART ON A NEW TAB USING THE DATA FROM THIS TAB</t>
  </si>
  <si>
    <t>Burn-Down Chart</t>
  </si>
  <si>
    <t>Authentication</t>
  </si>
  <si>
    <t>Bug: Nodes Cannot Register (Auth)</t>
  </si>
  <si>
    <t>Permission handling (Authorization)</t>
  </si>
  <si>
    <t>Dynamic Page/Content Updates</t>
  </si>
  <si>
    <t>Cluster Manager is a Node</t>
  </si>
  <si>
    <t>Architecture Review / Revisit</t>
  </si>
  <si>
    <t>Bulk Data Insertion / Preparation</t>
  </si>
  <si>
    <t>Architecture Review: Proper Operation Foward</t>
  </si>
  <si>
    <t>#146</t>
  </si>
  <si>
    <t>Updated Join Behavior</t>
  </si>
  <si>
    <t>#147</t>
  </si>
  <si>
    <t>Managed/Unmanaged Mode</t>
  </si>
  <si>
    <t>#148</t>
  </si>
  <si>
    <t>Shutdown, Restart and Remove</t>
  </si>
  <si>
    <t>#164</t>
  </si>
  <si>
    <t>Webflux Refresh</t>
  </si>
  <si>
    <t>#165</t>
  </si>
  <si>
    <t>Update UI</t>
  </si>
  <si>
    <t>#77</t>
  </si>
  <si>
    <t>Permissions/Groups Tab</t>
  </si>
  <si>
    <t>#145</t>
  </si>
  <si>
    <t>Improve Data Caching</t>
  </si>
  <si>
    <t>#173</t>
  </si>
  <si>
    <t>Tunneling Research</t>
  </si>
  <si>
    <t>#183</t>
  </si>
  <si>
    <t>BUG: Not able to re-add node after shutdown</t>
  </si>
  <si>
    <t>#184</t>
  </si>
  <si>
    <t>BUG: Shutdowned node should not be removed #184</t>
  </si>
  <si>
    <t>#185</t>
  </si>
  <si>
    <t>BUG: Automatic refresh doesn't work for nodes page</t>
  </si>
  <si>
    <t>#163</t>
  </si>
  <si>
    <t>Expose Metrics via Actuator/Prometheus</t>
  </si>
  <si>
    <t>#194</t>
  </si>
  <si>
    <t>Stress Testing Research</t>
  </si>
  <si>
    <t>#132</t>
  </si>
  <si>
    <t>Update Dashboard</t>
  </si>
  <si>
    <t>#189</t>
  </si>
  <si>
    <t>Add Stress Testing Profiles</t>
  </si>
  <si>
    <t>#200</t>
  </si>
  <si>
    <t>BUG: Backup Modal Window</t>
  </si>
  <si>
    <t>#190</t>
  </si>
  <si>
    <t>Update UI #2</t>
  </si>
  <si>
    <t>#201</t>
  </si>
  <si>
    <t>Grafana Setup</t>
  </si>
  <si>
    <t>#205</t>
  </si>
  <si>
    <t>Reactivate Backend testing</t>
  </si>
  <si>
    <t>#218</t>
  </si>
  <si>
    <t>Update Documentation</t>
  </si>
  <si>
    <t>#215</t>
  </si>
  <si>
    <t>Update SBOM</t>
  </si>
  <si>
    <t>#214</t>
  </si>
  <si>
    <t>Create Stress Testing Benchmarks &amp; Documentation</t>
  </si>
  <si>
    <t>#216</t>
  </si>
  <si>
    <t>Comment code</t>
  </si>
  <si>
    <t>#217</t>
  </si>
  <si>
    <t>Reenable Frontend Test</t>
  </si>
  <si>
    <t>Feature Definition of Done</t>
  </si>
  <si>
    <t>Sprint Release Definition of Done</t>
  </si>
  <si>
    <t>Project Release Definition of Done</t>
  </si>
  <si>
    <t>Code review has been completed and code has been merged</t>
  </si>
  <si>
    <t>Project builds, deploys, and tests successfully</t>
  </si>
  <si>
    <t>Project can be opened on desktop browsers</t>
  </si>
  <si>
    <t>All feature branches have been merged and closed</t>
  </si>
  <si>
    <t>Database update scripts succeed, consistency tests pass</t>
  </si>
  <si>
    <t>Design documentation has been updated</t>
  </si>
  <si>
    <t>New feature code has been documented</t>
  </si>
  <si>
    <t>Sprint release notes have been written</t>
  </si>
  <si>
    <t>User documentation has been updated</t>
  </si>
  <si>
    <t>Component tests have been written and pass</t>
  </si>
  <si>
    <t>Change log has been updated</t>
  </si>
  <si>
    <t>The backend simulation must succeed and produce an artifact.</t>
  </si>
  <si>
    <t>Component builds with build pipeline</t>
  </si>
  <si>
    <t>BOM is updated</t>
  </si>
  <si>
    <t>The frontend should be able to handle user inputs &amp; send them to the backend</t>
  </si>
  <si>
    <t>Fulfills all acceptance criteria for item</t>
  </si>
  <si>
    <t>Type</t>
  </si>
  <si>
    <t>Link / reference</t>
  </si>
  <si>
    <t>Context</t>
  </si>
  <si>
    <t>Name</t>
  </si>
  <si>
    <t>Version</t>
  </si>
  <si>
    <t>License</t>
  </si>
  <si>
    <t>Frontend</t>
  </si>
  <si>
    <t>Tailwindcss</t>
  </si>
  <si>
    <t>4.1.16</t>
  </si>
  <si>
    <t>MIT License</t>
  </si>
  <si>
    <t>Utility-first CSS Framework</t>
  </si>
  <si>
    <t>Flowbite</t>
  </si>
  <si>
    <t>4.0.0</t>
  </si>
  <si>
    <t>Component library built on Tailwind CSS.</t>
  </si>
  <si>
    <t>Angular</t>
  </si>
  <si>
    <t>20.3.7</t>
  </si>
  <si>
    <t>Web application framework</t>
  </si>
  <si>
    <t>Angular Material</t>
  </si>
  <si>
    <t>20.2.13</t>
  </si>
  <si>
    <t>MIT</t>
  </si>
  <si>
    <t>Material Design component library for Angular</t>
  </si>
  <si>
    <t>typescript</t>
  </si>
  <si>
    <t>5.9.3</t>
  </si>
  <si>
    <t>Apache-2.0</t>
  </si>
  <si>
    <t>Superset of JavaScript</t>
  </si>
  <si>
    <t>zonejs</t>
  </si>
  <si>
    <t>0.15.1</t>
  </si>
  <si>
    <t>Execution context library for Angular</t>
  </si>
  <si>
    <t>tslib</t>
  </si>
  <si>
    <t>2.8.1</t>
  </si>
  <si>
    <t>Runtime library for TypeScript</t>
  </si>
  <si>
    <t>karma</t>
  </si>
  <si>
    <t>6.4.4</t>
  </si>
  <si>
    <t>Test runner</t>
  </si>
  <si>
    <t>karma-chrome-launcher</t>
  </si>
  <si>
    <t>3.2.0</t>
  </si>
  <si>
    <t>Launcher for Chrome browser in tests</t>
  </si>
  <si>
    <t>karma-coverage</t>
  </si>
  <si>
    <t>2.2.1</t>
  </si>
  <si>
    <t>Code coverage tool</t>
  </si>
  <si>
    <t>karma-jasmine</t>
  </si>
  <si>
    <t>5.1.0</t>
  </si>
  <si>
    <t>Adapter for Jasmine testing framework</t>
  </si>
  <si>
    <t>karma-jasmine-html-reporter</t>
  </si>
  <si>
    <t>2.1.0</t>
  </si>
  <si>
    <t>HTML reporter for test results</t>
  </si>
  <si>
    <t>postcss</t>
  </si>
  <si>
    <t>8.5.6</t>
  </si>
  <si>
    <t>Tool for transforming CSS with JavaScript</t>
  </si>
  <si>
    <t>rxjs</t>
  </si>
  <si>
    <t>7.8.2</t>
  </si>
  <si>
    <t>Library for reactive programming</t>
  </si>
  <si>
    <t>Vite</t>
  </si>
  <si>
    <t>7.1.11</t>
  </si>
  <si>
    <t>Frontend build tool and bundler</t>
  </si>
  <si>
    <t>Socket.io</t>
  </si>
  <si>
    <t>4.8.1</t>
  </si>
  <si>
    <t>Real-time bidirectional event-based communication</t>
  </si>
  <si>
    <t>Algolia Search</t>
  </si>
  <si>
    <t>5.35.0</t>
  </si>
  <si>
    <t>Hosted search engine API client</t>
  </si>
  <si>
    <t>Zod</t>
  </si>
  <si>
    <t>3.25.76</t>
  </si>
  <si>
    <t>TypeScript schema validation</t>
  </si>
  <si>
    <t>Sass</t>
  </si>
  <si>
    <t>1.90.0</t>
  </si>
  <si>
    <t>CSS extension language</t>
  </si>
  <si>
    <t>Backend</t>
  </si>
  <si>
    <t>postgresql(-docker)</t>
  </si>
  <si>
    <t>latest</t>
  </si>
  <si>
    <t>Relational database system</t>
  </si>
  <si>
    <t>PostgreSQL JDBC Driver</t>
  </si>
  <si>
    <t>42.7.7</t>
  </si>
  <si>
    <t>BSD-2</t>
  </si>
  <si>
    <t>Java Database Connectivity driver</t>
  </si>
  <si>
    <t>H2</t>
  </si>
  <si>
    <t>2.3.232</t>
  </si>
  <si>
    <t>MLP 2.0</t>
  </si>
  <si>
    <t>In-memory database</t>
  </si>
  <si>
    <t>spring-boot</t>
  </si>
  <si>
    <t>3.5.6</t>
  </si>
  <si>
    <t>Framework for creating production-grade Spring applications</t>
  </si>
  <si>
    <t>Flyway</t>
  </si>
  <si>
    <t>11.7.2</t>
  </si>
  <si>
    <t>Database migration tool</t>
  </si>
  <si>
    <t>Spring WebFlux</t>
  </si>
  <si>
    <t>6.2.11</t>
  </si>
  <si>
    <t>Reactive web framework</t>
  </si>
  <si>
    <t>Spring Data R2DBC</t>
  </si>
  <si>
    <t>3.5.4</t>
  </si>
  <si>
    <t>Reactive relational database connectivity</t>
  </si>
  <si>
    <t>Spring Security</t>
  </si>
  <si>
    <t>6.5.5</t>
  </si>
  <si>
    <t>Authentication and access control framework</t>
  </si>
  <si>
    <t>Spring Boot Actuator</t>
  </si>
  <si>
    <t>Production-ready features (metrics, health checks)</t>
  </si>
  <si>
    <t>Reactor Netty</t>
  </si>
  <si>
    <t>1.2.10</t>
  </si>
  <si>
    <t>Asynchronous event-driven network application framework</t>
  </si>
  <si>
    <t>Reactor Core</t>
  </si>
  <si>
    <t>3.7.11</t>
  </si>
  <si>
    <t>Reactive foundation for WebFlux</t>
  </si>
  <si>
    <t>HikariCP</t>
  </si>
  <si>
    <t>6.3.3</t>
  </si>
  <si>
    <t>High-performance JDBC connection pool</t>
  </si>
  <si>
    <t>Apache Commons Lang</t>
  </si>
  <si>
    <t>3.18.0</t>
  </si>
  <si>
    <t>Java utility library</t>
  </si>
  <si>
    <t>Apache Commons IO</t>
  </si>
  <si>
    <t>2.16.1</t>
  </si>
  <si>
    <t>IO utility library</t>
  </si>
  <si>
    <t>SnakeYAML</t>
  </si>
  <si>
    <t>YAML parsing library</t>
  </si>
  <si>
    <t>Testcontainers</t>
  </si>
  <si>
    <t>1.21.3</t>
  </si>
  <si>
    <t>Java library for integration testing with Docker containers</t>
  </si>
  <si>
    <t>Micrometer</t>
  </si>
  <si>
    <t>1.15.4</t>
  </si>
  <si>
    <t>Application metrics facade</t>
  </si>
  <si>
    <t>Lombok</t>
  </si>
  <si>
    <t>1.18.40</t>
  </si>
  <si>
    <t>Java library to reduce boilerplate code</t>
  </si>
  <si>
    <t>Logback</t>
  </si>
  <si>
    <t>1.5.19</t>
  </si>
  <si>
    <t>EPL-1.0/LGPL-2.1</t>
  </si>
  <si>
    <t>Default logging framework</t>
  </si>
  <si>
    <t>Jackson Databind</t>
  </si>
  <si>
    <t>2.19.2</t>
  </si>
  <si>
    <t>JSON processor for REST APIs</t>
  </si>
  <si>
    <t>Hibernate Validator</t>
  </si>
  <si>
    <t>8.0.3.Final</t>
  </si>
  <si>
    <t>Bean validation provider (JSR 380)</t>
  </si>
  <si>
    <t>JUnit 5</t>
  </si>
  <si>
    <t>5.12.2</t>
  </si>
  <si>
    <t>EPL-2.0</t>
  </si>
  <si>
    <t>Backend unit testing framework</t>
  </si>
  <si>
    <t>Mockito</t>
  </si>
  <si>
    <t>5.17.0</t>
  </si>
  <si>
    <t>Test mocking framework</t>
  </si>
  <si>
    <t>AssertJ</t>
  </si>
  <si>
    <t>3.27.4</t>
  </si>
  <si>
    <t>Fluent assertions for testing</t>
  </si>
  <si>
    <t>Awaitility</t>
  </si>
  <si>
    <t>4.2.2</t>
  </si>
  <si>
    <t>Testing for asynchronous systems</t>
  </si>
  <si>
    <t>Caffeine</t>
  </si>
  <si>
    <t>3.2.2</t>
  </si>
  <si>
    <t>High-performance Java caching library</t>
  </si>
  <si>
    <t>Grafana</t>
  </si>
  <si>
    <t>AGPL-3.0</t>
  </si>
  <si>
    <t>Observability and data visualization platform</t>
  </si>
  <si>
    <t>k6</t>
  </si>
  <si>
    <t>Open source load testing tool</t>
  </si>
  <si>
    <t>k6-reporter</t>
  </si>
  <si>
    <t xml:space="preserve">Open source tool for creating HTML test report </t>
  </si>
  <si>
    <t>Value</t>
  </si>
  <si>
    <t xml:space="preserve"> </t>
  </si>
  <si>
    <t>No size</t>
  </si>
  <si>
    <t>Trivial size</t>
  </si>
  <si>
    <t>Small size</t>
  </si>
  <si>
    <t>Medium size</t>
  </si>
  <si>
    <t>Large size</t>
  </si>
  <si>
    <t>Very large size</t>
  </si>
  <si>
    <t>Too large (size)</t>
  </si>
  <si>
    <t>How to play planning poker</t>
  </si>
  <si>
    <t>1. Everyone type their number into their value field, don't hit return yet</t>
  </si>
  <si>
    <t>2. Someone, perhaps a product owner, count down 3.. 2.. 1..</t>
  </si>
  <si>
    <t>3. Then, everyone hit return to submit their value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</si>
</sst>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yyyy&quot;-&quot;mm&quot;-&quot;dd"/>
  </numFmts>
  <fonts count="16">
    <font>
      <sz val="10.0"/>
      <color rgb="FF000000"/>
      <name val="Arial"/>
    </font>
    <font>
      <b/>
    </font>
    <font/>
    <font>
      <u/>
      <color rgb="FF0000FF"/>
    </font>
    <font>
      <u/>
      <color rgb="FF0000FF"/>
    </font>
    <font>
      <u/>
      <color rgb="FF0000FF"/>
    </font>
    <font>
      <b/>
      <name val="Arial"/>
    </font>
    <font>
      <name val="Arial"/>
    </font>
    <font>
      <color rgb="FFFFFFFF"/>
      <name val="Arial"/>
    </font>
    <font>
      <i/>
      <name val="Arial"/>
    </font>
    <font>
      <b/>
      <u/>
      <color rgb="FF0000FF"/>
      <name val="Arial"/>
    </font>
    <font>
      <b/>
      <u/>
      <color rgb="FF0000FF"/>
      <name val="Arial"/>
    </font>
    <font>
      <b/>
      <u/>
      <color rgb="FF0000FF"/>
    </font>
    <font>
      <b/>
      <u/>
      <color rgb="FF0000FF"/>
    </font>
    <font>
      <b/>
      <u/>
      <color rgb="FF1155CC"/>
      <name val="Arial"/>
    </font>
    <font>
      <b/>
      <sz val="24.0"/>
      <name val="Arial"/>
    </font>
  </fonts>
  <fills count="9">
    <fill>
      <patternFill patternType="none"/>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9EAD3"/>
        <bgColor rgb="FFD9EAD3"/>
      </patternFill>
    </fill>
  </fills>
  <borders count="1">
    <border/>
  </borders>
  <cellStyleXfs count="1">
    <xf borderId="0" fillId="0" fontId="0" numFmtId="0" applyAlignment="1" applyFont="1"/>
  </cellStyleXfs>
  <cellXfs count="144">
    <xf borderId="0" fillId="0" fontId="0" numFmtId="0" xfId="0" applyAlignment="1" applyFont="1">
      <alignment readingOrder="0" shrinkToFit="0" vertical="bottom" wrapText="1"/>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1" numFmtId="0" xfId="0" applyAlignment="1" applyFont="1">
      <alignment readingOrder="0" shrinkToFit="0" wrapText="1"/>
    </xf>
    <xf borderId="0" fillId="0" fontId="3" numFmtId="0" xfId="0" applyAlignment="1" applyFont="1">
      <alignment readingOrder="0" shrinkToFit="0" wrapText="1"/>
    </xf>
    <xf borderId="0" fillId="0" fontId="4" numFmtId="0" xfId="0" applyAlignment="1" applyFont="1">
      <alignment readingOrder="0" shrinkToFit="0" wrapText="1"/>
    </xf>
    <xf borderId="0" fillId="0" fontId="2" numFmtId="0" xfId="0" applyAlignment="1" applyFont="1">
      <alignment readingOrder="0" shrinkToFit="0" wrapText="1"/>
    </xf>
    <xf borderId="0" fillId="0" fontId="2" numFmtId="0" xfId="0" applyAlignment="1" applyFont="1">
      <alignment readingOrder="0" shrinkToFit="0" wrapText="1"/>
    </xf>
    <xf borderId="0" fillId="0" fontId="2" numFmtId="0" xfId="0" applyAlignment="1" applyFont="1">
      <alignment readingOrder="0" shrinkToFit="0" wrapText="1"/>
    </xf>
    <xf borderId="0" fillId="0" fontId="5" numFmtId="0" xfId="0" applyAlignment="1" applyFont="1">
      <alignment readingOrder="0" shrinkToFit="0" wrapText="1"/>
    </xf>
    <xf borderId="0" fillId="0" fontId="1"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shrinkToFit="0" wrapText="0"/>
    </xf>
    <xf borderId="0" fillId="0" fontId="1" numFmtId="0" xfId="0" applyAlignment="1" applyFont="1">
      <alignment shrinkToFit="0" wrapText="0"/>
    </xf>
    <xf borderId="0" fillId="2" fontId="1" numFmtId="0" xfId="0" applyAlignment="1" applyFill="1" applyFont="1">
      <alignment horizontal="center" readingOrder="0" shrinkToFit="0" wrapText="0"/>
    </xf>
    <xf borderId="0" fillId="2" fontId="1" numFmtId="0" xfId="0" applyAlignment="1" applyFont="1">
      <alignment horizontal="center" shrinkToFit="0" wrapText="0"/>
    </xf>
    <xf borderId="0" fillId="0" fontId="1" numFmtId="0" xfId="0" applyAlignment="1" applyFont="1">
      <alignment horizontal="center" readingOrder="0" shrinkToFit="0" wrapText="0"/>
    </xf>
    <xf borderId="0" fillId="0" fontId="1" numFmtId="0" xfId="0" applyAlignment="1" applyFont="1">
      <alignment horizontal="center" shrinkToFit="0" wrapText="0"/>
    </xf>
    <xf borderId="0" fillId="0" fontId="2" numFmtId="0" xfId="0" applyAlignment="1" applyFont="1">
      <alignment horizontal="center" readingOrder="0" shrinkToFit="0" wrapText="0"/>
    </xf>
    <xf borderId="0" fillId="0" fontId="2" numFmtId="164" xfId="0" applyAlignment="1" applyFont="1" applyNumberFormat="1">
      <alignment readingOrder="0" shrinkToFit="0" wrapText="0"/>
    </xf>
    <xf borderId="0" fillId="0" fontId="2" numFmtId="0" xfId="0" applyAlignment="1" applyFont="1">
      <alignment horizontal="left" readingOrder="0" shrinkToFit="0" wrapText="0"/>
    </xf>
    <xf borderId="0" fillId="0" fontId="2" numFmtId="164" xfId="0" applyAlignment="1" applyFont="1" applyNumberFormat="1">
      <alignment shrinkToFit="0" wrapText="0"/>
    </xf>
    <xf borderId="0" fillId="0" fontId="2" numFmtId="165" xfId="0" applyAlignment="1" applyFont="1" applyNumberFormat="1">
      <alignment horizontal="left" readingOrder="0" shrinkToFit="0" wrapText="0"/>
    </xf>
    <xf borderId="0" fillId="0" fontId="2" numFmtId="0" xfId="0" applyAlignment="1" applyFont="1">
      <alignment horizontal="center" shrinkToFit="0" wrapText="0"/>
    </xf>
    <xf borderId="0" fillId="0" fontId="2" numFmtId="165" xfId="0" applyAlignment="1" applyFont="1" applyNumberFormat="1">
      <alignment shrinkToFit="0" wrapText="0"/>
    </xf>
    <xf borderId="0" fillId="0" fontId="2" numFmtId="165" xfId="0" applyAlignment="1" applyFont="1" applyNumberFormat="1">
      <alignment horizontal="left" shrinkToFit="0" wrapText="0"/>
    </xf>
    <xf borderId="0" fillId="0" fontId="2" numFmtId="165" xfId="0" applyAlignment="1" applyFont="1" applyNumberFormat="1">
      <alignment horizontal="left" shrinkToFit="0" wrapText="0"/>
    </xf>
    <xf borderId="0" fillId="0" fontId="2" numFmtId="0" xfId="0" applyAlignment="1" applyFont="1">
      <alignment horizontal="left" shrinkToFit="0" wrapText="0"/>
    </xf>
    <xf borderId="0" fillId="3" fontId="6" numFmtId="0" xfId="0" applyAlignment="1" applyFill="1" applyFont="1">
      <alignment shrinkToFit="0" vertical="bottom" wrapText="1"/>
    </xf>
    <xf borderId="0" fillId="3" fontId="7" numFmtId="0" xfId="0" applyAlignment="1" applyFont="1">
      <alignment shrinkToFit="0" vertical="bottom" wrapText="1"/>
    </xf>
    <xf borderId="0" fillId="4" fontId="7" numFmtId="0" xfId="0" applyAlignment="1" applyFill="1" applyFont="1">
      <alignment shrinkToFit="0" vertical="bottom" wrapText="1"/>
    </xf>
    <xf borderId="0" fillId="4" fontId="7" numFmtId="0" xfId="0" applyAlignment="1" applyFont="1">
      <alignment readingOrder="0" shrinkToFit="0" vertical="bottom" wrapText="1"/>
    </xf>
    <xf borderId="0" fillId="3" fontId="6" numFmtId="0" xfId="0" applyAlignment="1" applyFont="1">
      <alignment readingOrder="0" shrinkToFit="0" vertical="bottom" wrapText="1"/>
    </xf>
    <xf borderId="0" fillId="3" fontId="7" numFmtId="0" xfId="0" applyAlignment="1" applyFont="1">
      <alignment shrinkToFit="0" vertical="bottom" wrapText="1"/>
    </xf>
    <xf borderId="0" fillId="4" fontId="7" numFmtId="0" xfId="0" applyAlignment="1" applyFont="1">
      <alignment shrinkToFit="0" vertical="bottom" wrapText="1"/>
    </xf>
    <xf borderId="0" fillId="3" fontId="6" numFmtId="0" xfId="0" applyAlignment="1" applyFont="1">
      <alignment shrinkToFit="0" vertical="bottom" wrapText="1"/>
    </xf>
    <xf borderId="0" fillId="0" fontId="2" numFmtId="0" xfId="0" applyAlignment="1" applyFont="1">
      <alignment shrinkToFit="0" wrapText="1"/>
    </xf>
    <xf borderId="0" fillId="2" fontId="1" numFmtId="0" xfId="0" applyAlignment="1" applyFont="1">
      <alignment readingOrder="0" shrinkToFit="0" wrapText="1"/>
    </xf>
    <xf borderId="0" fillId="3" fontId="2" numFmtId="0" xfId="0" applyAlignment="1" applyFont="1">
      <alignment shrinkToFit="0" wrapText="1"/>
    </xf>
    <xf borderId="0" fillId="3" fontId="2" numFmtId="0" xfId="0" applyAlignment="1" applyFont="1">
      <alignment readingOrder="0" shrinkToFit="0" wrapText="1"/>
    </xf>
    <xf borderId="0" fillId="4" fontId="7" numFmtId="0" xfId="0" applyAlignment="1" applyFont="1">
      <alignment readingOrder="0" shrinkToFit="0" vertical="top" wrapText="1"/>
    </xf>
    <xf borderId="0" fillId="0" fontId="1" numFmtId="0" xfId="0" applyAlignment="1" applyFont="1">
      <alignment shrinkToFit="0" wrapText="1"/>
    </xf>
    <xf borderId="0" fillId="0" fontId="1" numFmtId="0" xfId="0" applyAlignment="1" applyFont="1">
      <alignment horizontal="left" readingOrder="0" shrinkToFit="0" wrapText="1"/>
    </xf>
    <xf borderId="0" fillId="0" fontId="2" numFmtId="0" xfId="0" applyAlignment="1" applyFont="1">
      <alignment horizontal="left" readingOrder="0" shrinkToFit="0" wrapText="1"/>
    </xf>
    <xf borderId="0" fillId="0" fontId="2" numFmtId="0" xfId="0" applyAlignment="1" applyFont="1">
      <alignment horizontal="left" shrinkToFit="0" wrapText="1"/>
    </xf>
    <xf borderId="0" fillId="5" fontId="1" numFmtId="0" xfId="0" applyAlignment="1" applyFill="1" applyFont="1">
      <alignment readingOrder="0" shrinkToFit="0" wrapText="1"/>
    </xf>
    <xf borderId="0" fillId="2" fontId="6" numFmtId="0" xfId="0" applyAlignment="1" applyFont="1">
      <alignment horizontal="left" shrinkToFit="0" vertical="bottom" wrapText="1"/>
    </xf>
    <xf borderId="0" fillId="2" fontId="6" numFmtId="0" xfId="0" applyAlignment="1" applyFont="1">
      <alignment shrinkToFit="0" vertical="bottom" wrapText="0"/>
    </xf>
    <xf borderId="0" fillId="2" fontId="6" numFmtId="0" xfId="0" applyAlignment="1" applyFont="1">
      <alignment shrinkToFit="0" vertical="bottom" wrapText="0"/>
    </xf>
    <xf borderId="0" fillId="2" fontId="6" numFmtId="0" xfId="0" applyAlignment="1" applyFont="1">
      <alignment horizontal="center" readingOrder="0" shrinkToFit="0" vertical="bottom" wrapText="1"/>
    </xf>
    <xf borderId="0" fillId="3" fontId="7" numFmtId="0" xfId="0" applyAlignment="1" applyFont="1">
      <alignment horizontal="left" shrinkToFit="0" vertical="bottom" wrapText="1"/>
    </xf>
    <xf borderId="0" fillId="3" fontId="7" numFmtId="0" xfId="0" applyAlignment="1" applyFont="1">
      <alignment shrinkToFit="0" vertical="bottom" wrapText="0"/>
    </xf>
    <xf borderId="0" fillId="6" fontId="6" numFmtId="0" xfId="0" applyAlignment="1" applyFill="1" applyFont="1">
      <alignment horizontal="left" shrinkToFit="0" vertical="bottom" wrapText="0"/>
    </xf>
    <xf borderId="0" fillId="6" fontId="7" numFmtId="0" xfId="0" applyAlignment="1" applyFont="1">
      <alignment shrinkToFit="0" vertical="bottom" wrapText="0"/>
    </xf>
    <xf borderId="0" fillId="6" fontId="7" numFmtId="0" xfId="0" applyAlignment="1" applyFont="1">
      <alignment shrinkToFit="0" vertical="bottom" wrapText="1"/>
    </xf>
    <xf borderId="0" fillId="4" fontId="6" numFmtId="0" xfId="0" applyAlignment="1" applyFont="1">
      <alignment shrinkToFit="0" vertical="bottom" wrapText="0"/>
    </xf>
    <xf borderId="0" fillId="4" fontId="2" numFmtId="0" xfId="0" applyAlignment="1" applyFont="1">
      <alignment shrinkToFit="0" wrapText="0"/>
    </xf>
    <xf borderId="0" fillId="4" fontId="7" numFmtId="0" xfId="0" applyAlignment="1" applyFont="1">
      <alignment horizontal="right" shrinkToFit="0" vertical="bottom" wrapText="0"/>
    </xf>
    <xf borderId="0" fillId="7" fontId="6" numFmtId="0" xfId="0" applyAlignment="1" applyFill="1" applyFont="1">
      <alignment horizontal="left" shrinkToFit="0" vertical="bottom" wrapText="0"/>
    </xf>
    <xf borderId="0" fillId="7" fontId="6" numFmtId="0" xfId="0" applyAlignment="1" applyFont="1">
      <alignment shrinkToFit="0" vertical="bottom" wrapText="0"/>
    </xf>
    <xf borderId="0" fillId="7" fontId="7" numFmtId="0" xfId="0" applyAlignment="1" applyFont="1">
      <alignment shrinkToFit="0" vertical="bottom" wrapText="1"/>
    </xf>
    <xf borderId="0" fillId="3" fontId="8" numFmtId="0" xfId="0" applyAlignment="1" applyFont="1">
      <alignment horizontal="center" shrinkToFit="0" vertical="bottom" wrapText="0"/>
    </xf>
    <xf borderId="0" fillId="4" fontId="7" numFmtId="0" xfId="0" applyAlignment="1" applyFont="1">
      <alignment horizontal="left" shrinkToFit="0" vertical="bottom" wrapText="1"/>
    </xf>
    <xf borderId="0" fillId="4" fontId="6" numFmtId="0" xfId="0" applyAlignment="1" applyFont="1">
      <alignment horizontal="left" shrinkToFit="0" vertical="bottom" wrapText="0"/>
    </xf>
    <xf borderId="0" fillId="4" fontId="7" numFmtId="0" xfId="0" applyAlignment="1" applyFont="1">
      <alignment horizontal="right" readingOrder="0" shrinkToFit="0" vertical="bottom" wrapText="0"/>
    </xf>
    <xf borderId="0" fillId="3" fontId="6" numFmtId="0" xfId="0" applyAlignment="1" applyFont="1">
      <alignment horizontal="left" readingOrder="0" shrinkToFit="0" vertical="bottom" wrapText="0"/>
    </xf>
    <xf borderId="0" fillId="3" fontId="7" numFmtId="0" xfId="0" applyAlignment="1" applyFont="1">
      <alignment horizontal="right" readingOrder="0" shrinkToFit="0" vertical="bottom" wrapText="0"/>
    </xf>
    <xf borderId="0" fillId="3" fontId="7" numFmtId="0" xfId="0" applyAlignment="1" applyFont="1">
      <alignment horizontal="right" shrinkToFit="0" vertical="bottom" wrapText="0"/>
    </xf>
    <xf borderId="0" fillId="3" fontId="7" numFmtId="0" xfId="0" applyAlignment="1" applyFont="1">
      <alignment horizontal="left" readingOrder="0" shrinkToFit="0" vertical="bottom" wrapText="1"/>
    </xf>
    <xf borderId="0" fillId="3" fontId="7" numFmtId="0" xfId="0" applyAlignment="1" applyFont="1">
      <alignment readingOrder="0" shrinkToFit="0" vertical="bottom" wrapText="1"/>
    </xf>
    <xf borderId="0" fillId="3" fontId="2" numFmtId="0" xfId="0" applyAlignment="1" applyFont="1">
      <alignment horizontal="left" readingOrder="0" shrinkToFit="0" wrapText="1"/>
    </xf>
    <xf borderId="0" fillId="4" fontId="2" numFmtId="0" xfId="0" applyAlignment="1" applyFont="1">
      <alignment horizontal="left" readingOrder="0" shrinkToFit="0" wrapText="1"/>
    </xf>
    <xf borderId="0" fillId="8" fontId="6" numFmtId="0" xfId="0" applyAlignment="1" applyFill="1" applyFont="1">
      <alignment horizontal="left" shrinkToFit="0" vertical="bottom" wrapText="0"/>
    </xf>
    <xf borderId="0" fillId="8" fontId="6" numFmtId="0" xfId="0" applyAlignment="1" applyFont="1">
      <alignment shrinkToFit="0" vertical="bottom" wrapText="0"/>
    </xf>
    <xf borderId="0" fillId="8" fontId="7" numFmtId="0" xfId="0" applyAlignment="1" applyFont="1">
      <alignment shrinkToFit="0" vertical="bottom" wrapText="1"/>
    </xf>
    <xf borderId="0" fillId="4" fontId="7" numFmtId="0" xfId="0" applyAlignment="1" applyFont="1">
      <alignment shrinkToFit="0" vertical="bottom" wrapText="1"/>
    </xf>
    <xf borderId="0" fillId="4" fontId="7" numFmtId="0" xfId="0" applyAlignment="1" applyFont="1">
      <alignment shrinkToFit="0" vertical="bottom" wrapText="1"/>
    </xf>
    <xf borderId="0" fillId="3" fontId="7" numFmtId="0" xfId="0" applyAlignment="1" applyFont="1">
      <alignment horizontal="left" shrinkToFit="0" vertical="bottom" wrapText="1"/>
    </xf>
    <xf borderId="0" fillId="3" fontId="6" numFmtId="0" xfId="0" applyAlignment="1" applyFont="1">
      <alignment shrinkToFit="0" vertical="bottom" wrapText="1"/>
    </xf>
    <xf borderId="0" fillId="3" fontId="7" numFmtId="0" xfId="0" applyAlignment="1" applyFont="1">
      <alignment shrinkToFit="0" vertical="bottom" wrapText="1"/>
    </xf>
    <xf borderId="0" fillId="3" fontId="7" numFmtId="0" xfId="0" applyAlignment="1" applyFont="1">
      <alignment shrinkToFit="0" vertical="bottom" wrapText="1"/>
    </xf>
    <xf borderId="0" fillId="4" fontId="7" numFmtId="0" xfId="0" applyAlignment="1" applyFont="1">
      <alignment horizontal="left" shrinkToFit="0" vertical="bottom" wrapText="1"/>
    </xf>
    <xf borderId="0" fillId="4" fontId="6" numFmtId="0" xfId="0" applyAlignment="1" applyFont="1">
      <alignment shrinkToFit="0" vertical="bottom" wrapText="1"/>
    </xf>
    <xf borderId="0" fillId="3" fontId="7" numFmtId="0" xfId="0" applyAlignment="1" applyFont="1">
      <alignment horizontal="left" shrinkToFit="0" vertical="bottom" wrapText="1"/>
    </xf>
    <xf borderId="0" fillId="3" fontId="7" numFmtId="0" xfId="0" applyAlignment="1" applyFont="1">
      <alignment shrinkToFit="0" vertical="bottom" wrapText="0"/>
    </xf>
    <xf borderId="0" fillId="4" fontId="7" numFmtId="0" xfId="0" applyAlignment="1" applyFont="1">
      <alignment shrinkToFit="0" vertical="bottom" wrapText="0"/>
    </xf>
    <xf borderId="0" fillId="4" fontId="6" numFmtId="0" xfId="0" applyAlignment="1" applyFont="1">
      <alignment shrinkToFit="0" vertical="bottom" wrapText="0"/>
    </xf>
    <xf borderId="0" fillId="3" fontId="6" numFmtId="0" xfId="0" applyAlignment="1" applyFont="1">
      <alignment shrinkToFit="0" vertical="bottom" wrapText="0"/>
    </xf>
    <xf borderId="0" fillId="4" fontId="7" numFmtId="0" xfId="0" applyAlignment="1" applyFont="1">
      <alignment readingOrder="0" shrinkToFit="0" vertical="bottom" wrapText="1"/>
    </xf>
    <xf borderId="0" fillId="3" fontId="7" numFmtId="0" xfId="0" applyAlignment="1" applyFont="1">
      <alignment readingOrder="0" shrinkToFit="0" vertical="bottom" wrapText="1"/>
    </xf>
    <xf borderId="0" fillId="3" fontId="7" numFmtId="0" xfId="0" applyAlignment="1" applyFont="1">
      <alignment horizontal="left" readingOrder="0" shrinkToFit="0" vertical="bottom" wrapText="1"/>
    </xf>
    <xf borderId="0" fillId="3" fontId="6" numFmtId="0" xfId="0" applyAlignment="1" applyFont="1">
      <alignment readingOrder="0" shrinkToFit="0" vertical="bottom" wrapText="1"/>
    </xf>
    <xf borderId="0" fillId="4" fontId="9" numFmtId="0" xfId="0" applyAlignment="1" applyFont="1">
      <alignment readingOrder="0" shrinkToFit="0" vertical="bottom" wrapText="1"/>
    </xf>
    <xf borderId="0" fillId="3" fontId="6" numFmtId="0" xfId="0" applyAlignment="1" applyFont="1">
      <alignment shrinkToFit="0" vertical="bottom" wrapText="0"/>
    </xf>
    <xf borderId="0" fillId="2" fontId="6" numFmtId="0" xfId="0" applyAlignment="1" applyFont="1">
      <alignment shrinkToFit="0" vertical="bottom" wrapText="1"/>
    </xf>
    <xf borderId="0" fillId="7" fontId="6" numFmtId="0" xfId="0" applyAlignment="1" applyFont="1">
      <alignment shrinkToFit="0" vertical="bottom" wrapText="0"/>
    </xf>
    <xf borderId="0" fillId="4" fontId="2" numFmtId="0" xfId="0" applyAlignment="1" applyFont="1">
      <alignment horizontal="left" shrinkToFit="0" wrapText="1"/>
    </xf>
    <xf borderId="0" fillId="4" fontId="1" numFmtId="0" xfId="0" applyAlignment="1" applyFont="1">
      <alignment shrinkToFit="0" wrapText="1"/>
    </xf>
    <xf borderId="0" fillId="4" fontId="2" numFmtId="0" xfId="0" applyAlignment="1" applyFont="1">
      <alignment shrinkToFit="0" wrapText="1"/>
    </xf>
    <xf borderId="0" fillId="3" fontId="1" numFmtId="0" xfId="0" applyAlignment="1" applyFont="1">
      <alignment shrinkToFit="0" wrapText="1"/>
    </xf>
    <xf borderId="0" fillId="4" fontId="2" numFmtId="0" xfId="0" applyAlignment="1" applyFont="1">
      <alignment readingOrder="0" shrinkToFit="0" wrapText="1"/>
    </xf>
    <xf borderId="0" fillId="4" fontId="7" numFmtId="0" xfId="0" applyAlignment="1" applyFont="1">
      <alignment horizontal="left" readingOrder="0" shrinkToFit="0" vertical="bottom" wrapText="1"/>
    </xf>
    <xf borderId="0" fillId="4" fontId="6" numFmtId="0" xfId="0" applyAlignment="1" applyFont="1">
      <alignment readingOrder="0" shrinkToFit="0" vertical="bottom" wrapText="1"/>
    </xf>
    <xf borderId="0" fillId="4" fontId="6" numFmtId="0" xfId="0" applyAlignment="1" applyFont="1">
      <alignment readingOrder="0" shrinkToFit="0" vertical="bottom" wrapText="1"/>
    </xf>
    <xf borderId="0" fillId="4" fontId="10" numFmtId="0" xfId="0" applyAlignment="1" applyFont="1">
      <alignment readingOrder="0" shrinkToFit="0" vertical="bottom" wrapText="1"/>
    </xf>
    <xf borderId="0" fillId="3" fontId="11" numFmtId="0" xfId="0" applyAlignment="1" applyFont="1">
      <alignment readingOrder="0" shrinkToFit="0" vertical="bottom" wrapText="1"/>
    </xf>
    <xf borderId="0" fillId="3" fontId="12" numFmtId="0" xfId="0" applyAlignment="1" applyFont="1">
      <alignment readingOrder="0" shrinkToFit="0" wrapText="1"/>
    </xf>
    <xf borderId="0" fillId="4" fontId="13" numFmtId="0" xfId="0" applyAlignment="1" applyFont="1">
      <alignment readingOrder="0" shrinkToFit="0" wrapText="1"/>
    </xf>
    <xf borderId="0" fillId="3" fontId="14" numFmtId="0" xfId="0" applyAlignment="1" applyFont="1">
      <alignment shrinkToFit="0" vertical="bottom" wrapText="1"/>
    </xf>
    <xf borderId="0" fillId="3" fontId="7" numFmtId="0" xfId="0" applyAlignment="1" applyFont="1">
      <alignment horizontal="right" readingOrder="0" shrinkToFit="0" vertical="bottom" wrapText="1"/>
    </xf>
    <xf borderId="0" fillId="3" fontId="7" numFmtId="0" xfId="0" applyAlignment="1" applyFont="1">
      <alignment readingOrder="0" shrinkToFit="0" vertical="bottom" wrapText="1"/>
    </xf>
    <xf borderId="0" fillId="4" fontId="7" numFmtId="0" xfId="0" applyAlignment="1" applyFont="1">
      <alignment readingOrder="0" shrinkToFit="0" vertical="bottom" wrapText="1"/>
    </xf>
    <xf borderId="0" fillId="2" fontId="6" numFmtId="0" xfId="0" applyAlignment="1" applyFont="1">
      <alignment shrinkToFit="0" vertical="bottom" wrapText="1"/>
    </xf>
    <xf borderId="0" fillId="2" fontId="6" numFmtId="0" xfId="0" applyAlignment="1" applyFont="1">
      <alignment readingOrder="0" shrinkToFit="0" vertical="bottom" wrapText="0"/>
    </xf>
    <xf borderId="0" fillId="2" fontId="6" numFmtId="0" xfId="0" applyAlignment="1" applyFont="1">
      <alignment shrinkToFit="0" vertical="center" wrapText="1"/>
    </xf>
    <xf borderId="0" fillId="2" fontId="6" numFmtId="0" xfId="0" applyAlignment="1" applyFont="1">
      <alignment horizontal="center" shrinkToFit="0" vertical="center" wrapText="1"/>
    </xf>
    <xf borderId="0" fillId="2" fontId="6" numFmtId="4" xfId="0" applyAlignment="1" applyFont="1" applyNumberFormat="1">
      <alignment shrinkToFit="0" vertical="center" wrapText="1"/>
    </xf>
    <xf borderId="0" fillId="2" fontId="7" numFmtId="4" xfId="0" applyAlignment="1" applyFont="1" applyNumberFormat="1">
      <alignment shrinkToFit="0" vertical="center" wrapText="1"/>
    </xf>
    <xf borderId="0" fillId="2" fontId="7" numFmtId="0" xfId="0" applyAlignment="1" applyFont="1">
      <alignment shrinkToFit="0" vertical="center" wrapText="1"/>
    </xf>
    <xf borderId="0" fillId="2" fontId="1" numFmtId="0" xfId="0" applyAlignment="1" applyFont="1">
      <alignment shrinkToFit="0" vertical="center" wrapText="1"/>
    </xf>
    <xf borderId="0" fillId="3" fontId="6" numFmtId="0" xfId="0" applyAlignment="1" applyFont="1">
      <alignment shrinkToFit="0" vertical="center" wrapText="1"/>
    </xf>
    <xf borderId="0" fillId="5" fontId="7" numFmtId="0" xfId="0" applyAlignment="1" applyFont="1">
      <alignment horizontal="center" readingOrder="0" shrinkToFit="0" vertical="center" wrapText="1"/>
    </xf>
    <xf borderId="0" fillId="3" fontId="7" numFmtId="4" xfId="0" applyAlignment="1" applyFont="1" applyNumberFormat="1">
      <alignment shrinkToFit="0" vertical="center" wrapText="1"/>
    </xf>
    <xf borderId="0" fillId="8" fontId="15" numFmtId="4" xfId="0" applyAlignment="1" applyFont="1" applyNumberFormat="1">
      <alignment horizontal="center" shrinkToFit="0" vertical="center" wrapText="1"/>
    </xf>
    <xf borderId="0" fillId="8" fontId="15" numFmtId="0" xfId="0" applyAlignment="1" applyFont="1">
      <alignment horizontal="center" shrinkToFit="0" vertical="center" wrapText="1"/>
    </xf>
    <xf borderId="0" fillId="3" fontId="2" numFmtId="0" xfId="0" applyAlignment="1" applyFont="1">
      <alignment shrinkToFit="0" vertical="center" wrapText="1"/>
    </xf>
    <xf borderId="0" fillId="4" fontId="6" numFmtId="0" xfId="0" applyAlignment="1" applyFont="1">
      <alignment shrinkToFit="0" vertical="center" wrapText="1"/>
    </xf>
    <xf borderId="0" fillId="4" fontId="7" numFmtId="4" xfId="0" applyAlignment="1" applyFont="1" applyNumberFormat="1">
      <alignment shrinkToFit="0" vertical="center" wrapText="1"/>
    </xf>
    <xf borderId="0" fillId="4" fontId="2" numFmtId="0" xfId="0" applyAlignment="1" applyFont="1">
      <alignment shrinkToFit="0" vertical="center" wrapText="1"/>
    </xf>
    <xf borderId="0" fillId="3" fontId="7" numFmtId="4" xfId="0" applyAlignment="1" applyFont="1" applyNumberFormat="1">
      <alignment readingOrder="0" shrinkToFit="0" vertical="center" wrapText="1"/>
    </xf>
    <xf borderId="0" fillId="4" fontId="7" numFmtId="0" xfId="0" applyAlignment="1" applyFont="1">
      <alignment shrinkToFit="0" vertical="center" wrapText="1"/>
    </xf>
    <xf borderId="0" fillId="3" fontId="2" numFmtId="0" xfId="0" applyAlignment="1" applyFont="1">
      <alignment horizontal="center" readingOrder="0" shrinkToFit="0" wrapText="1"/>
    </xf>
    <xf borderId="0" fillId="3" fontId="7" numFmtId="0" xfId="0" applyAlignment="1" applyFont="1">
      <alignment shrinkToFit="0" vertical="center" wrapText="1"/>
    </xf>
    <xf borderId="0" fillId="7" fontId="7" numFmtId="0" xfId="0" applyAlignment="1" applyFont="1">
      <alignment horizontal="center" shrinkToFit="0" vertical="center" wrapText="1"/>
    </xf>
    <xf borderId="0" fillId="7" fontId="7" numFmtId="0" xfId="0" applyAlignment="1" applyFont="1">
      <alignment readingOrder="0" shrinkToFit="0" vertical="center" wrapText="1"/>
    </xf>
    <xf borderId="0" fillId="5" fontId="7" numFmtId="0" xfId="0" applyAlignment="1" applyFont="1">
      <alignment horizontal="center" shrinkToFit="0" vertical="center" wrapText="1"/>
    </xf>
    <xf borderId="0" fillId="5" fontId="7" numFmtId="0" xfId="0" applyAlignment="1" applyFont="1">
      <alignment horizontal="center" shrinkToFit="0" vertical="center" wrapText="1"/>
    </xf>
    <xf borderId="0" fillId="3" fontId="1" numFmtId="0" xfId="0" applyAlignment="1" applyFont="1">
      <alignment shrinkToFit="0" wrapText="0"/>
    </xf>
    <xf borderId="0" fillId="3" fontId="1" numFmtId="0" xfId="0" applyAlignment="1" applyFont="1">
      <alignment shrinkToFit="0" wrapText="0"/>
    </xf>
    <xf borderId="0" fillId="3" fontId="2" numFmtId="0" xfId="0" applyAlignment="1" applyFont="1">
      <alignment shrinkToFit="0" wrapText="0"/>
    </xf>
    <xf borderId="0" fillId="3" fontId="2" numFmtId="0" xfId="0" applyAlignment="1" applyFont="1">
      <alignment shrinkToFit="0" wrapText="0"/>
    </xf>
    <xf borderId="0" fillId="4" fontId="2" numFmtId="0" xfId="0" applyAlignment="1" applyFont="1">
      <alignment shrinkToFit="0" wrapText="0"/>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0">
    <tableStyle count="3" pivot="0" name="Project Data-style">
      <tableStyleElement dxfId="1" type="headerRow"/>
      <tableStyleElement dxfId="2" type="firstRowStripe"/>
      <tableStyleElement dxfId="3" type="secondRowStripe"/>
    </tableStyle>
    <tableStyle count="3" pivot="0" name="Project Team-style">
      <tableStyleElement dxfId="1" type="headerRow"/>
      <tableStyleElement dxfId="2" type="firstRowStripe"/>
      <tableStyleElement dxfId="3" type="secondRowStripe"/>
    </tableStyle>
    <tableStyle count="3" pivot="0" name="Role Assignments-style">
      <tableStyleElement dxfId="1" type="headerRow"/>
      <tableStyleElement dxfId="2" type="firstRowStripe"/>
      <tableStyleElement dxfId="3" type="secondRowStripe"/>
    </tableStyle>
    <tableStyle count="3" pivot="0" name="Team Contract-style">
      <tableStyleElement dxfId="1" type="headerRow"/>
      <tableStyleElement dxfId="2" type="firstRowStripe"/>
      <tableStyleElement dxfId="3" type="secondRowStripe"/>
    </tableStyle>
    <tableStyle count="3" pivot="0" name="Product Glossary-style">
      <tableStyleElement dxfId="1" type="headerRow"/>
      <tableStyleElement dxfId="2" type="firstRowStripe"/>
      <tableStyleElement dxfId="3" type="secondRowStripe"/>
    </tableStyle>
    <tableStyle count="3" pivot="0" name="Sprint Goals-style">
      <tableStyleElement dxfId="1" type="headerRow"/>
      <tableStyleElement dxfId="2" type="firstRowStripe"/>
      <tableStyleElement dxfId="3" type="secondRowStripe"/>
    </tableStyle>
    <tableStyle count="3" pivot="0" name="Velocity Tracking-style">
      <tableStyleElement dxfId="1" type="headerRow"/>
      <tableStyleElement dxfId="2" type="firstRowStripe"/>
      <tableStyleElement dxfId="3" type="secondRowStripe"/>
    </tableStyle>
    <tableStyle count="3" pivot="0" name="Definition of Done-style">
      <tableStyleElement dxfId="1" type="headerRow"/>
      <tableStyleElement dxfId="2" type="firstRowStripe"/>
      <tableStyleElement dxfId="3" type="secondRowStripe"/>
    </tableStyle>
    <tableStyle count="3" pivot="0" name="Documentation-style">
      <tableStyleElement dxfId="1" type="headerRow"/>
      <tableStyleElement dxfId="2" type="firstRowStripe"/>
      <tableStyleElement dxfId="3" type="secondRowStripe"/>
    </tableStyle>
    <tableStyle count="3" pivot="0" name="Bill of Materials-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Roboto"/>
              </a:defRPr>
            </a:pPr>
            <a:r>
              <a:rPr b="0">
                <a:solidFill>
                  <a:srgbClr val="000000"/>
                </a:solidFill>
                <a:latin typeface="Roboto"/>
              </a:rPr>
              <a:t>Velocity Chart</a:t>
            </a:r>
          </a:p>
        </c:rich>
      </c:tx>
      <c:overlay val="0"/>
    </c:title>
    <c:plotArea>
      <c:layout/>
      <c:barChart>
        <c:barDir val="col"/>
        <c:ser>
          <c:idx val="0"/>
          <c:order val="0"/>
          <c:tx>
            <c:strRef>
              <c:f>'Velocity Tracking'!$C$1</c:f>
            </c:strRef>
          </c:tx>
          <c:spPr>
            <a:solidFill>
              <a:srgbClr val="999999"/>
            </a:solidFill>
            <a:ln cmpd="sng">
              <a:solidFill>
                <a:srgbClr val="000000"/>
              </a:solidFill>
            </a:ln>
          </c:spPr>
          <c:cat>
            <c:strRef>
              <c:f>'Velocity Tracking'!$A$2:$A$16</c:f>
            </c:strRef>
          </c:cat>
          <c:val>
            <c:numRef>
              <c:f>'Velocity Tracking'!$C$2:$C$16</c:f>
              <c:numCache/>
            </c:numRef>
          </c:val>
        </c:ser>
        <c:ser>
          <c:idx val="1"/>
          <c:order val="1"/>
          <c:tx>
            <c:strRef>
              <c:f>'Velocity Tracking'!$B$1</c:f>
            </c:strRef>
          </c:tx>
          <c:spPr>
            <a:solidFill>
              <a:srgbClr val="38761D"/>
            </a:solidFill>
            <a:ln cmpd="sng">
              <a:solidFill>
                <a:srgbClr val="000000"/>
              </a:solidFill>
            </a:ln>
          </c:spPr>
          <c:cat>
            <c:strRef>
              <c:f>'Velocity Tracking'!$A$2:$A$16</c:f>
            </c:strRef>
          </c:cat>
          <c:val>
            <c:numRef>
              <c:f>'Velocity Tracking'!$B$2:$B$16</c:f>
              <c:numCache/>
            </c:numRef>
          </c:val>
        </c:ser>
        <c:axId val="855708612"/>
        <c:axId val="1919989074"/>
      </c:barChart>
      <c:lineChart>
        <c:varyColors val="0"/>
        <c:ser>
          <c:idx val="2"/>
          <c:order val="2"/>
          <c:tx>
            <c:v>Average Story Points Realized</c:v>
          </c:tx>
          <c:spPr>
            <a:ln cmpd="sng" w="28575">
              <a:solidFill>
                <a:srgbClr val="CC0000">
                  <a:alpha val="100000"/>
                </a:srgbClr>
              </a:solidFill>
              <a:prstDash val="solid"/>
            </a:ln>
          </c:spPr>
          <c:marker>
            <c:symbol val="none"/>
          </c:marker>
          <c:cat>
            <c:strRef>
              <c:f>'Velocity Tracking'!$A$2:$A$16</c:f>
            </c:strRef>
          </c:cat>
          <c:val>
            <c:numRef>
              <c:f>'Velocity Chart'!$A$29</c:f>
              <c:numCache/>
            </c:numRef>
          </c:val>
          <c:smooth val="0"/>
        </c:ser>
        <c:axId val="855708612"/>
        <c:axId val="1919989074"/>
      </c:lineChart>
      <c:catAx>
        <c:axId val="855708612"/>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 #</a:t>
                </a:r>
              </a:p>
            </c:rich>
          </c:tx>
          <c:overlay val="0"/>
        </c:title>
        <c:numFmt formatCode="General" sourceLinked="1"/>
        <c:majorTickMark val="none"/>
        <c:minorTickMark val="none"/>
        <c:spPr/>
        <c:txPr>
          <a:bodyPr/>
          <a:lstStyle/>
          <a:p>
            <a:pPr lvl="0">
              <a:defRPr b="0">
                <a:solidFill>
                  <a:srgbClr val="000000"/>
                </a:solidFill>
                <a:latin typeface="Roboto"/>
              </a:defRPr>
            </a:pPr>
          </a:p>
        </c:txPr>
        <c:crossAx val="1919989074"/>
      </c:catAx>
      <c:valAx>
        <c:axId val="19199890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855708612"/>
      </c:valAx>
    </c:plotArea>
    <c:legend>
      <c:legendPos val="r"/>
      <c:overlay val="0"/>
      <c:txPr>
        <a:bodyPr/>
        <a:lstStyle/>
        <a:p>
          <a:pPr lvl="0">
            <a:defRPr b="0">
              <a:solidFill>
                <a:srgbClr val="000000"/>
              </a:solidFill>
              <a:latin typeface="Roboto"/>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Roboto"/>
              </a:defRPr>
            </a:pPr>
            <a:r>
              <a:rPr b="0">
                <a:solidFill>
                  <a:srgbClr val="000000"/>
                </a:solidFill>
                <a:latin typeface="Roboto"/>
              </a:rPr>
              <a:t>Burn-Down Chart</a:t>
            </a:r>
          </a:p>
        </c:rich>
      </c:tx>
      <c:overlay val="0"/>
    </c:title>
    <c:plotArea>
      <c:layout/>
      <c:barChart>
        <c:barDir val="col"/>
        <c:ser>
          <c:idx val="0"/>
          <c:order val="0"/>
          <c:tx>
            <c:v>Estimated</c:v>
          </c:tx>
          <c:spPr>
            <a:solidFill>
              <a:srgbClr val="4285F4"/>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'Mid-Project Release plan'!$A$9:$A$16</c:f>
            </c:strRef>
          </c:cat>
          <c:val>
            <c:numRef>
              <c:f>'Mid-Project Release plan'!$E$9:$E$16</c:f>
              <c:numCache/>
            </c:numRef>
          </c:val>
        </c:ser>
        <c:ser>
          <c:idx val="1"/>
          <c:order val="1"/>
          <c:tx>
            <c:v>Real</c:v>
          </c:tx>
          <c:spPr>
            <a:solidFill>
              <a:srgbClr val="DB4437"/>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'Mid-Project Release plan'!$A$9:$A$16</c:f>
            </c:strRef>
          </c:cat>
          <c:val>
            <c:numRef>
              <c:f>'Mid-Project Release plan'!$G$9:$G$16</c:f>
              <c:numCache/>
            </c:numRef>
          </c:val>
        </c:ser>
        <c:axId val="875566732"/>
        <c:axId val="2098652500"/>
      </c:barChart>
      <c:lineChart>
        <c:varyColors val="0"/>
        <c:ser>
          <c:idx val="2"/>
          <c:order val="2"/>
          <c:tx>
            <c:v>Development Speed</c:v>
          </c:tx>
          <c:spPr>
            <a:ln cmpd="sng">
              <a:solidFill>
                <a:srgbClr val="000000">
                  <a:alpha val="100000"/>
                </a:srgbClr>
              </a:solidFill>
            </a:ln>
          </c:spPr>
          <c:marker>
            <c:symbol val="none"/>
          </c:marker>
          <c:cat>
            <c:strRef>
              <c:f>'Mid-Project Release plan'!$A$9:$A$16</c:f>
            </c:strRef>
          </c:cat>
          <c:val>
            <c:numRef>
              <c:f>'Burn-down Chart (Mid-Project)'!$A$2:$A$10</c:f>
              <c:numCache/>
            </c:numRef>
          </c:val>
          <c:smooth val="0"/>
        </c:ser>
        <c:axId val="875566732"/>
        <c:axId val="2098652500"/>
      </c:lineChart>
      <c:catAx>
        <c:axId val="875566732"/>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a:t>
                </a:r>
              </a:p>
            </c:rich>
          </c:tx>
          <c:overlay val="0"/>
        </c:title>
        <c:numFmt formatCode="General" sourceLinked="1"/>
        <c:majorTickMark val="none"/>
        <c:minorTickMark val="none"/>
        <c:spPr/>
        <c:txPr>
          <a:bodyPr/>
          <a:lstStyle/>
          <a:p>
            <a:pPr lvl="0">
              <a:defRPr b="0">
                <a:solidFill>
                  <a:srgbClr val="000000"/>
                </a:solidFill>
                <a:latin typeface="Roboto"/>
              </a:defRPr>
            </a:pPr>
          </a:p>
        </c:txPr>
        <c:crossAx val="2098652500"/>
      </c:catAx>
      <c:valAx>
        <c:axId val="20986525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Story Points</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875566732"/>
      </c:valAx>
    </c:plotArea>
    <c:legend>
      <c:legendPos val="r"/>
      <c:overlay val="0"/>
      <c:txPr>
        <a:bodyPr/>
        <a:lstStyle/>
        <a:p>
          <a:pPr lvl="0">
            <a:defRPr b="0">
              <a:solidFill>
                <a:srgbClr val="000000"/>
              </a:solidFill>
              <a:latin typeface="Roboto"/>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Roboto"/>
              </a:defRPr>
            </a:pPr>
            <a:r>
              <a:rPr b="0">
                <a:solidFill>
                  <a:srgbClr val="000000"/>
                </a:solidFill>
                <a:latin typeface="Roboto"/>
              </a:rPr>
              <a:t>Burn-Down Chart</a:t>
            </a:r>
          </a:p>
        </c:rich>
      </c:tx>
      <c:overlay val="0"/>
    </c:title>
    <c:plotArea>
      <c:layout/>
      <c:barChart>
        <c:barDir val="col"/>
        <c:ser>
          <c:idx val="0"/>
          <c:order val="0"/>
          <c:tx>
            <c:v>Estimated</c:v>
          </c:tx>
          <c:spPr>
            <a:solidFill>
              <a:srgbClr val="4285F4"/>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'Final Project Release plan'!$A$9:$A$23</c:f>
            </c:strRef>
          </c:cat>
          <c:val>
            <c:numRef>
              <c:f>'Final Project Release plan'!$E$9:$E$23</c:f>
              <c:numCache/>
            </c:numRef>
          </c:val>
        </c:ser>
        <c:ser>
          <c:idx val="1"/>
          <c:order val="1"/>
          <c:tx>
            <c:v>Real</c:v>
          </c:tx>
          <c:spPr>
            <a:solidFill>
              <a:srgbClr val="DB4437"/>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'Final Project Release plan'!$A$9:$A$23</c:f>
            </c:strRef>
          </c:cat>
          <c:val>
            <c:numRef>
              <c:f>'Final Project Release plan'!$G$9:$G$23</c:f>
              <c:numCache/>
            </c:numRef>
          </c:val>
        </c:ser>
        <c:axId val="1563754707"/>
        <c:axId val="869717121"/>
      </c:barChart>
      <c:lineChart>
        <c:varyColors val="0"/>
        <c:ser>
          <c:idx val="2"/>
          <c:order val="2"/>
          <c:tx>
            <c:v>Development Speed</c:v>
          </c:tx>
          <c:spPr>
            <a:ln cmpd="sng">
              <a:solidFill>
                <a:srgbClr val="000000">
                  <a:alpha val="100000"/>
                </a:srgbClr>
              </a:solidFill>
            </a:ln>
          </c:spPr>
          <c:marker>
            <c:symbol val="none"/>
          </c:marker>
          <c:cat>
            <c:strRef>
              <c:f>'Final Project Release plan'!$A$9:$A$23</c:f>
            </c:strRef>
          </c:cat>
          <c:val>
            <c:numRef>
              <c:f>'Burn-down Chart (Final Release)'!$A$2:$A$15</c:f>
              <c:numCache/>
            </c:numRef>
          </c:val>
          <c:smooth val="0"/>
        </c:ser>
        <c:axId val="1563754707"/>
        <c:axId val="869717121"/>
      </c:lineChart>
      <c:catAx>
        <c:axId val="1563754707"/>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a:t>
                </a:r>
              </a:p>
            </c:rich>
          </c:tx>
          <c:overlay val="0"/>
        </c:title>
        <c:numFmt formatCode="General" sourceLinked="1"/>
        <c:majorTickMark val="none"/>
        <c:minorTickMark val="none"/>
        <c:spPr/>
        <c:txPr>
          <a:bodyPr/>
          <a:lstStyle/>
          <a:p>
            <a:pPr lvl="0">
              <a:defRPr b="0">
                <a:solidFill>
                  <a:srgbClr val="000000"/>
                </a:solidFill>
                <a:latin typeface="Roboto"/>
              </a:defRPr>
            </a:pPr>
          </a:p>
        </c:txPr>
        <c:crossAx val="869717121"/>
      </c:catAx>
      <c:valAx>
        <c:axId val="8697171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Story Points</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1563754707"/>
      </c:valAx>
    </c:plotArea>
    <c:legend>
      <c:legendPos val="r"/>
      <c:overlay val="0"/>
      <c:txPr>
        <a:bodyPr/>
        <a:lstStyle/>
        <a:p>
          <a:pPr lvl="0">
            <a:defRPr b="0">
              <a:solidFill>
                <a:srgbClr val="000000"/>
              </a:solidFill>
              <a:latin typeface="Roboto"/>
            </a:defRPr>
          </a:pPr>
        </a:p>
      </c:txPr>
    </c:legend>
    <c:plotVisOnly val="1"/>
  </c:chart>
</c:chartSpace>
</file>

<file path=xl/drawings/_rels/drawing9.xml.rels><?xml version="1.0" encoding="UTF-8" standalone="yes"?><Relationships xmlns="http://schemas.openxmlformats.org/package/2006/relationships"><Relationship Id="rId1" Type="http://schemas.openxmlformats.org/officeDocument/2006/relationships/image" Target="../media/Chart1.png"/><Relationship Id="rId2"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57150</xdr:colOff>
      <xdr:row>2</xdr:row>
      <xdr:rowOff>28575</xdr:rowOff>
    </xdr:from>
    <xdr:ext cx="7648575" cy="3533775"/>
    <xdr:pic>
      <xdr:nvPicPr>
        <xdr:cNvPr id="1636916913" name="Chart1" title="Diagramm">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733425</xdr:colOff>
      <xdr:row>25</xdr:row>
      <xdr:rowOff>133350</xdr:rowOff>
    </xdr:from>
    <xdr:ext cx="10896600" cy="3914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28575</xdr:colOff>
      <xdr:row>1</xdr:row>
      <xdr:rowOff>19050</xdr:rowOff>
    </xdr:from>
    <xdr:ext cx="8591550" cy="5305425"/>
    <xdr:graphicFrame>
      <xdr:nvGraphicFramePr>
        <xdr:cNvPr id="3" name="Chart 3" title="Diagramm"/>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28575</xdr:colOff>
      <xdr:row>1</xdr:row>
      <xdr:rowOff>19050</xdr:rowOff>
    </xdr:from>
    <xdr:ext cx="8591550" cy="5305425"/>
    <xdr:graphicFrame>
      <xdr:nvGraphicFramePr>
        <xdr:cNvPr id="4" name="Chart 4" title="Diagramm"/>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B20" displayName="Table_1" name="Table_1" id="1">
  <tableColumns count="2">
    <tableColumn name="Project Name" id="1"/>
    <tableColumn name="Backup Cluster Manager SEP" id="2"/>
  </tableColumns>
  <tableStyleInfo name="Project Data-style" showColumnStripes="0" showFirstColumn="1" showLastColumn="1" showRowStripes="1"/>
</table>
</file>

<file path=xl/tables/table2.xml><?xml version="1.0" encoding="utf-8"?>
<table xmlns="http://schemas.openxmlformats.org/spreadsheetml/2006/main" ref="A1:D20" displayName="Table_2" name="Table_2" id="2">
  <tableColumns count="4">
    <tableColumn name="Last Name" id="1"/>
    <tableColumn name="First Name" id="2"/>
    <tableColumn name="GitHub User Name" id="3"/>
    <tableColumn name="Email Address" id="4"/>
  </tableColumns>
  <tableStyleInfo name="Project Team-style" showColumnStripes="0" showFirstColumn="1" showLastColumn="1" showRowStripes="1"/>
</table>
</file>

<file path=xl/tables/table3.xml><?xml version="1.0" encoding="utf-8"?>
<table xmlns="http://schemas.openxmlformats.org/spreadsheetml/2006/main" ref="A2:H21" displayName="Table_3" name="Table_3" id="3">
  <tableColumns count="8">
    <tableColumn name="#" id="1"/>
    <tableColumn name="Meeting Day" id="2"/>
    <tableColumn name="Review" id="3"/>
    <tableColumn name="Planning" id="4"/>
    <tableColumn name="Software Developer" id="5"/>
    <tableColumn name="Release Manager" id="6"/>
    <tableColumn name="Scrum Master" id="7"/>
    <tableColumn name="Comment" id="8"/>
  </tableColumns>
  <tableStyleInfo name="Role Assignments-style" showColumnStripes="0" showFirstColumn="1" showLastColumn="1" showRowStripes="1"/>
</table>
</file>

<file path=xl/tables/table4.xml><?xml version="1.0" encoding="utf-8"?>
<table xmlns="http://schemas.openxmlformats.org/spreadsheetml/2006/main" headerRowCount="0" ref="A1:B30" displayName="Table_4" name="Table_4" id="4">
  <tableColumns count="2">
    <tableColumn name="Column1" id="1"/>
    <tableColumn name="Column2" id="2"/>
  </tableColumns>
  <tableStyleInfo name="Team Contract-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ref="A1:B20" displayName="Table_5" name="Table_5" id="5">
  <tableColumns count="2">
    <tableColumn name="Term" id="1"/>
    <tableColumn name="Definition" id="2"/>
  </tableColumns>
  <tableStyleInfo name="Product Glossary-style" showColumnStripes="0" showFirstColumn="1" showLastColumn="1" showRowStripes="1"/>
</table>
</file>

<file path=xl/tables/table6.xml><?xml version="1.0" encoding="utf-8"?>
<table xmlns="http://schemas.openxmlformats.org/spreadsheetml/2006/main" ref="A1:B20" displayName="Table_6" name="Table_6" id="6">
  <tableColumns count="2">
    <tableColumn name="Sprint #" id="1"/>
    <tableColumn name="Sprint goal" id="2"/>
  </tableColumns>
  <tableStyleInfo name="Sprint Goals-style" showColumnStripes="0" showFirstColumn="1" showLastColumn="1" showRowStripes="1"/>
</table>
</file>

<file path=xl/tables/table7.xml><?xml version="1.0" encoding="utf-8"?>
<table xmlns="http://schemas.openxmlformats.org/spreadsheetml/2006/main" ref="A1:D20" displayName="Table_7" name="Table_7" id="7">
  <tableColumns count="4">
    <tableColumn name="Sprint #" id="1"/>
    <tableColumn name="Story Points Realized" id="2"/>
    <tableColumn name="Story Points Committed" id="3"/>
    <tableColumn name="Average Story Points Realized" id="4"/>
  </tableColumns>
  <tableStyleInfo name="Velocity Tracking-style" showColumnStripes="0" showFirstColumn="1" showLastColumn="1" showRowStripes="1"/>
</table>
</file>

<file path=xl/tables/table8.xml><?xml version="1.0" encoding="utf-8"?>
<table xmlns="http://schemas.openxmlformats.org/spreadsheetml/2006/main" ref="A1:D20" displayName="Table_8" name="Table_8" id="8">
  <tableColumns count="4">
    <tableColumn name="#" id="1"/>
    <tableColumn name="Feature Definition of Done" id="2"/>
    <tableColumn name="Sprint Release Definition of Done" id="3"/>
    <tableColumn name="Project Release Definition of Done" id="4"/>
  </tableColumns>
  <tableStyleInfo name="Definition of Done-style" showColumnStripes="0" showFirstColumn="1" showLastColumn="1" showRowStripes="1"/>
</table>
</file>

<file path=xl/tables/table9.xml><?xml version="1.0" encoding="utf-8"?>
<table xmlns="http://schemas.openxmlformats.org/spreadsheetml/2006/main" ref="A1:B20" displayName="Table_9" name="Table_9" id="9">
  <tableColumns count="2">
    <tableColumn name="Type" id="1"/>
    <tableColumn name="Link / reference" id="2"/>
  </tableColumns>
  <tableStyleInfo name="Documentation-style" showColumnStripes="0" showFirstColumn="1" showLastColumn="1" showRowStripes="1"/>
</table>
</file>

<file path=xl/tables/table10.xml><?xml version="1.0" encoding="utf-8"?>
<table xmlns="http://schemas.openxmlformats.org/spreadsheetml/2006/main" ref="A1:F50" displayName="Table_10" name="Table_10" id="10">
  <tableColumns count="6">
    <tableColumn name="#" id="1"/>
    <tableColumn name="Context" id="2"/>
    <tableColumn name="Name" id="3"/>
    <tableColumn name="Version" id="4"/>
    <tableColumn name="License" id="5"/>
    <tableColumn name="Comment" id="6"/>
  </tableColumns>
  <tableStyleInfo name="Bill of Materials-style"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tu-berlin.zoom-x.de/j/66460442542?pwd=6JDdHFzvrTj3bJokdNJSYxHA3b8F6r.1" TargetMode="External"/><Relationship Id="rId2" Type="http://schemas.openxmlformats.org/officeDocument/2006/relationships/hyperlink" Target="https://github.com/amosproj/amos2025ws02-backup-cluster-manager" TargetMode="External"/><Relationship Id="rId3" Type="http://schemas.openxmlformats.org/officeDocument/2006/relationships/hyperlink" Target="https://github.com/orgs/amosproj/projects/90" TargetMode="External"/><Relationship Id="rId4" Type="http://schemas.openxmlformats.org/officeDocument/2006/relationships/hyperlink" Target="https://github.com/orgs/amosproj/projects/94" TargetMode="External"/><Relationship Id="rId11" Type="http://schemas.openxmlformats.org/officeDocument/2006/relationships/table" Target="../tables/table1.xml"/><Relationship Id="rId9" Type="http://schemas.openxmlformats.org/officeDocument/2006/relationships/drawing" Target="../drawings/drawing1.xml"/><Relationship Id="rId5" Type="http://schemas.openxmlformats.org/officeDocument/2006/relationships/hyperlink" Target="https://www.shirtinator.de/s/WGBu8LkSRqOJZe-LDXqisw" TargetMode="External"/><Relationship Id="rId6" Type="http://schemas.openxmlformats.org/officeDocument/2006/relationships/hyperlink" Target="https://www.shirtinator.de/s/jG2py-QWSDeg3IraRTb-bQ" TargetMode="External"/><Relationship Id="rId7" Type="http://schemas.openxmlformats.org/officeDocument/2006/relationships/hyperlink" Target="https://discord.gg/mhFBrsTx" TargetMode="External"/><Relationship Id="rId8" Type="http://schemas.openxmlformats.org/officeDocument/2006/relationships/hyperlink" Target="https://www.figma.com/design/kLihICBMvBVKCodv1OlY4Y/Website-Design?m=auto&amp;t=UItPz3hhwCtSgsc5-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github.com/amosproj/amos2025ws02-backup-cluster-manager/issues/183" TargetMode="External"/><Relationship Id="rId22" Type="http://schemas.openxmlformats.org/officeDocument/2006/relationships/hyperlink" Target="https://github.com/amosproj/amos2025ws02-backup-cluster-manager/issues/189" TargetMode="External"/><Relationship Id="rId21" Type="http://schemas.openxmlformats.org/officeDocument/2006/relationships/hyperlink" Target="https://github.com/amosproj/amos2025ws02-backup-cluster-manager/issues/132" TargetMode="External"/><Relationship Id="rId24" Type="http://schemas.openxmlformats.org/officeDocument/2006/relationships/hyperlink" Target="https://github.com/amosproj/amos2025ws02-backup-cluster-manager/issues/190" TargetMode="External"/><Relationship Id="rId23" Type="http://schemas.openxmlformats.org/officeDocument/2006/relationships/hyperlink" Target="https://github.com/amosproj/amos2025ws02-backup-cluster-manager/issues/200" TargetMode="External"/><Relationship Id="rId1" Type="http://schemas.openxmlformats.org/officeDocument/2006/relationships/hyperlink" Target="https://github.com/amosproj/amos2025ws02-backup-cluster-manager/issues/146" TargetMode="External"/><Relationship Id="rId2" Type="http://schemas.openxmlformats.org/officeDocument/2006/relationships/hyperlink" Target="https://github.com/amosproj/amos2025ws02-backup-cluster-manager/issues/147" TargetMode="External"/><Relationship Id="rId3" Type="http://schemas.openxmlformats.org/officeDocument/2006/relationships/hyperlink" Target="https://github.com/amosproj/amos2025ws02-backup-cluster-manager/issues/148" TargetMode="External"/><Relationship Id="rId4" Type="http://schemas.openxmlformats.org/officeDocument/2006/relationships/hyperlink" Target="https://github.com/amosproj/amos2025ws02-backup-cluster-manager/issues/164" TargetMode="External"/><Relationship Id="rId9" Type="http://schemas.openxmlformats.org/officeDocument/2006/relationships/hyperlink" Target="https://github.com/amosproj/amos2025ws02-backup-cluster-manager/issues/183" TargetMode="External"/><Relationship Id="rId26" Type="http://schemas.openxmlformats.org/officeDocument/2006/relationships/hyperlink" Target="https://github.com/amosproj/amos2025ws02-backup-cluster-manager/issues/205" TargetMode="External"/><Relationship Id="rId25" Type="http://schemas.openxmlformats.org/officeDocument/2006/relationships/hyperlink" Target="https://github.com/amosproj/amos2025ws02-backup-cluster-manager/issues/201" TargetMode="External"/><Relationship Id="rId28" Type="http://schemas.openxmlformats.org/officeDocument/2006/relationships/hyperlink" Target="https://github.com/amosproj/amos2025ws02-backup-cluster-manager/issues/218" TargetMode="External"/><Relationship Id="rId27" Type="http://schemas.openxmlformats.org/officeDocument/2006/relationships/hyperlink" Target="https://github.com/amosproj/amos2025ws02-backup-cluster-manager/issues/189" TargetMode="External"/><Relationship Id="rId5" Type="http://schemas.openxmlformats.org/officeDocument/2006/relationships/hyperlink" Target="https://github.com/amosproj/amos2025ws02-backup-cluster-manager/issues/165" TargetMode="External"/><Relationship Id="rId6" Type="http://schemas.openxmlformats.org/officeDocument/2006/relationships/hyperlink" Target="https://github.com/amosproj/amos2025ws02-backup-cluster-manager/issues/77" TargetMode="External"/><Relationship Id="rId29" Type="http://schemas.openxmlformats.org/officeDocument/2006/relationships/hyperlink" Target="https://github.com/amosproj/amos2025ws02-backup-cluster-manager/issues/215" TargetMode="External"/><Relationship Id="rId7" Type="http://schemas.openxmlformats.org/officeDocument/2006/relationships/hyperlink" Target="https://github.com/amosproj/amos2025ws02-backup-cluster-manager/issues/145" TargetMode="External"/><Relationship Id="rId8" Type="http://schemas.openxmlformats.org/officeDocument/2006/relationships/hyperlink" Target="https://github.com/amosproj/amos2025ws02-backup-cluster-manager/issues/173" TargetMode="External"/><Relationship Id="rId31" Type="http://schemas.openxmlformats.org/officeDocument/2006/relationships/hyperlink" Target="https://github.com/amosproj/amos2025ws02-backup-cluster-manager/issues/216" TargetMode="External"/><Relationship Id="rId30" Type="http://schemas.openxmlformats.org/officeDocument/2006/relationships/hyperlink" Target="https://github.com/amosproj/amos2025ws02-backup-cluster-manager/issues/214" TargetMode="External"/><Relationship Id="rId11" Type="http://schemas.openxmlformats.org/officeDocument/2006/relationships/hyperlink" Target="https://github.com/amosproj/amos2025ws02-backup-cluster-manager/issues/185" TargetMode="External"/><Relationship Id="rId33" Type="http://schemas.openxmlformats.org/officeDocument/2006/relationships/drawing" Target="../drawings/drawing12.xml"/><Relationship Id="rId10" Type="http://schemas.openxmlformats.org/officeDocument/2006/relationships/hyperlink" Target="https://github.com/amosproj/amos2025ws02-backup-cluster-manager/issues/184" TargetMode="External"/><Relationship Id="rId32" Type="http://schemas.openxmlformats.org/officeDocument/2006/relationships/hyperlink" Target="https://github.com/amosproj/amos2025ws02-backup-cluster-manager/issues/217" TargetMode="External"/><Relationship Id="rId13" Type="http://schemas.openxmlformats.org/officeDocument/2006/relationships/hyperlink" Target="https://github.com/amosproj/amos2025ws02-backup-cluster-manager/issues/145" TargetMode="External"/><Relationship Id="rId12" Type="http://schemas.openxmlformats.org/officeDocument/2006/relationships/hyperlink" Target="https://github.com/amosproj/amos2025ws02-backup-cluster-manager/issues/164" TargetMode="External"/><Relationship Id="rId15" Type="http://schemas.openxmlformats.org/officeDocument/2006/relationships/hyperlink" Target="https://github.com/amosproj/amos2025ws02-backup-cluster-manager/issues/194" TargetMode="External"/><Relationship Id="rId14" Type="http://schemas.openxmlformats.org/officeDocument/2006/relationships/hyperlink" Target="https://github.com/amosproj/amos2025ws02-backup-cluster-manager/issues/163" TargetMode="External"/><Relationship Id="rId17" Type="http://schemas.openxmlformats.org/officeDocument/2006/relationships/hyperlink" Target="https://github.com/amosproj/amos2025ws02-backup-cluster-manager/issues/184" TargetMode="External"/><Relationship Id="rId16" Type="http://schemas.openxmlformats.org/officeDocument/2006/relationships/hyperlink" Target="https://github.com/amosproj/amos2025ws02-backup-cluster-manager/issues/183" TargetMode="External"/><Relationship Id="rId19" Type="http://schemas.openxmlformats.org/officeDocument/2006/relationships/hyperlink" Target="https://github.com/amosproj/amos2025ws02-backup-cluster-manager/issues/194" TargetMode="External"/><Relationship Id="rId18" Type="http://schemas.openxmlformats.org/officeDocument/2006/relationships/hyperlink" Target="https://github.com/amosproj/amos2025ws02-backup-cluster-manager/issues/185"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hyperlink" Target="http://socket.io" TargetMode="External"/><Relationship Id="rId2" Type="http://schemas.openxmlformats.org/officeDocument/2006/relationships/drawing" Target="../drawings/drawing16.xml"/><Relationship Id="rId4"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1" t="s">
        <v>0</v>
      </c>
      <c r="B1" s="2" t="s">
        <v>1</v>
      </c>
    </row>
    <row r="2">
      <c r="A2" s="1"/>
      <c r="B2" s="3"/>
    </row>
    <row r="3">
      <c r="A3" s="4" t="s">
        <v>2</v>
      </c>
      <c r="B3" s="5" t="s">
        <v>3</v>
      </c>
    </row>
    <row r="4">
      <c r="A4" s="1"/>
      <c r="B4" s="3"/>
    </row>
    <row r="5">
      <c r="A5" s="4" t="s">
        <v>4</v>
      </c>
      <c r="B5" s="2" t="s">
        <v>5</v>
      </c>
    </row>
    <row r="6">
      <c r="A6" s="4" t="s">
        <v>6</v>
      </c>
      <c r="B6" s="2" t="s">
        <v>5</v>
      </c>
    </row>
    <row r="7">
      <c r="A7" s="1"/>
      <c r="B7" s="3"/>
    </row>
    <row r="8">
      <c r="A8" s="4" t="s">
        <v>7</v>
      </c>
      <c r="B8" s="6" t="s">
        <v>8</v>
      </c>
    </row>
    <row r="9">
      <c r="A9" s="4" t="s">
        <v>9</v>
      </c>
      <c r="B9" s="5" t="s">
        <v>10</v>
      </c>
    </row>
    <row r="10">
      <c r="A10" s="4" t="s">
        <v>11</v>
      </c>
      <c r="B10" s="5" t="s">
        <v>12</v>
      </c>
    </row>
    <row r="11">
      <c r="A11" s="1"/>
      <c r="B11" s="3"/>
    </row>
    <row r="12">
      <c r="A12" s="4" t="s">
        <v>13</v>
      </c>
      <c r="B12" s="5" t="s">
        <v>14</v>
      </c>
    </row>
    <row r="13">
      <c r="A13" s="4" t="s">
        <v>15</v>
      </c>
      <c r="B13" s="5" t="s">
        <v>16</v>
      </c>
    </row>
    <row r="14">
      <c r="A14" s="1"/>
      <c r="B14" s="3"/>
    </row>
    <row r="15">
      <c r="A15" s="1" t="s">
        <v>17</v>
      </c>
      <c r="B15" s="7"/>
    </row>
    <row r="16">
      <c r="A16" s="8" t="s">
        <v>18</v>
      </c>
      <c r="B16" s="5" t="s">
        <v>19</v>
      </c>
    </row>
    <row r="17">
      <c r="A17" s="9" t="s">
        <v>20</v>
      </c>
      <c r="B17" s="10" t="s">
        <v>21</v>
      </c>
    </row>
    <row r="19">
      <c r="A19" s="4" t="s">
        <v>22</v>
      </c>
      <c r="B19" s="2" t="s">
        <v>23</v>
      </c>
    </row>
    <row r="20">
      <c r="A20" s="1"/>
      <c r="B20" s="1"/>
    </row>
  </sheetData>
  <hyperlinks>
    <hyperlink r:id="rId1" ref="B3"/>
    <hyperlink r:id="rId2" ref="B8"/>
    <hyperlink r:id="rId3" ref="B9"/>
    <hyperlink r:id="rId4" ref="B10"/>
    <hyperlink r:id="rId5" ref="B12"/>
    <hyperlink r:id="rId6" ref="B13"/>
    <hyperlink r:id="rId7" ref="B16"/>
    <hyperlink r:id="rId8" ref="B17"/>
  </hyperlinks>
  <printOptions gridLines="1" horizontalCentered="1"/>
  <pageMargins bottom="0.75" footer="0.0" header="0.0" left="0.7" right="0.7" top="0.75"/>
  <pageSetup fitToHeight="0" paperSize="9" cellComments="atEnd" orientation="landscape" pageOrder="overThenDown"/>
  <drawing r:id="rId9"/>
  <tableParts count="1">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4" width="31.38"/>
  </cols>
  <sheetData>
    <row r="1">
      <c r="A1" s="11" t="s">
        <v>24</v>
      </c>
      <c r="B1" s="11" t="s">
        <v>25</v>
      </c>
      <c r="C1" s="11" t="s">
        <v>26</v>
      </c>
      <c r="D1" s="11" t="s">
        <v>27</v>
      </c>
    </row>
    <row r="2">
      <c r="A2" s="12" t="s">
        <v>28</v>
      </c>
      <c r="B2" s="12" t="s">
        <v>29</v>
      </c>
      <c r="C2" s="12" t="s">
        <v>30</v>
      </c>
      <c r="D2" s="12" t="s">
        <v>31</v>
      </c>
    </row>
    <row r="3">
      <c r="A3" s="12" t="s">
        <v>32</v>
      </c>
      <c r="B3" s="12" t="s">
        <v>33</v>
      </c>
      <c r="C3" s="12" t="s">
        <v>34</v>
      </c>
      <c r="D3" s="12" t="s">
        <v>35</v>
      </c>
    </row>
    <row r="4">
      <c r="A4" s="12" t="s">
        <v>36</v>
      </c>
      <c r="B4" s="12" t="s">
        <v>37</v>
      </c>
      <c r="C4" s="12" t="s">
        <v>38</v>
      </c>
      <c r="D4" s="12" t="s">
        <v>39</v>
      </c>
    </row>
    <row r="5">
      <c r="A5" s="12" t="s">
        <v>40</v>
      </c>
      <c r="B5" s="13" t="s">
        <v>41</v>
      </c>
      <c r="C5" s="13" t="s">
        <v>42</v>
      </c>
      <c r="D5" s="13" t="s">
        <v>43</v>
      </c>
    </row>
    <row r="6">
      <c r="A6" s="12" t="s">
        <v>44</v>
      </c>
      <c r="B6" s="12" t="s">
        <v>45</v>
      </c>
      <c r="C6" s="12" t="s">
        <v>46</v>
      </c>
      <c r="D6" s="12" t="s">
        <v>47</v>
      </c>
    </row>
    <row r="7">
      <c r="A7" s="12" t="s">
        <v>48</v>
      </c>
      <c r="B7" s="12" t="s">
        <v>49</v>
      </c>
      <c r="C7" s="12" t="s">
        <v>50</v>
      </c>
      <c r="D7" s="12" t="s">
        <v>51</v>
      </c>
    </row>
    <row r="8">
      <c r="A8" s="12" t="s">
        <v>52</v>
      </c>
      <c r="B8" s="12" t="s">
        <v>53</v>
      </c>
      <c r="C8" s="12" t="s">
        <v>54</v>
      </c>
      <c r="D8" s="12" t="s">
        <v>55</v>
      </c>
    </row>
    <row r="9">
      <c r="A9" s="12" t="s">
        <v>56</v>
      </c>
      <c r="B9" s="12" t="s">
        <v>57</v>
      </c>
      <c r="C9" s="12" t="s">
        <v>58</v>
      </c>
      <c r="D9" s="14"/>
    </row>
    <row r="11">
      <c r="A11" s="14"/>
      <c r="B11" s="12"/>
      <c r="C11" s="14"/>
      <c r="D11" s="14"/>
    </row>
    <row r="12">
      <c r="A12" s="14"/>
      <c r="B12" s="14"/>
      <c r="C12" s="14"/>
      <c r="D12" s="14"/>
    </row>
    <row r="13">
      <c r="A13" s="11"/>
      <c r="B13" s="15"/>
      <c r="C13" s="15"/>
      <c r="D13" s="15"/>
    </row>
    <row r="14">
      <c r="A14" s="14"/>
      <c r="B14" s="12"/>
      <c r="C14" s="14"/>
      <c r="D14" s="14"/>
    </row>
    <row r="15">
      <c r="A15" s="14"/>
      <c r="B15" s="12"/>
      <c r="C15" s="14"/>
      <c r="D15" s="14"/>
    </row>
    <row r="16">
      <c r="A16" s="14"/>
      <c r="B16" s="14"/>
      <c r="C16" s="14"/>
      <c r="D16" s="14"/>
    </row>
    <row r="17">
      <c r="A17" s="14"/>
      <c r="B17" s="14"/>
      <c r="C17" s="14"/>
      <c r="D17" s="14"/>
    </row>
    <row r="18">
      <c r="A18" s="14"/>
      <c r="B18" s="14"/>
      <c r="C18" s="14"/>
      <c r="D18" s="14"/>
    </row>
    <row r="19">
      <c r="A19" s="14"/>
      <c r="B19" s="14"/>
      <c r="C19" s="14"/>
      <c r="D19" s="14"/>
    </row>
    <row r="20">
      <c r="A20" s="14"/>
      <c r="B20" s="14"/>
      <c r="C20" s="14"/>
      <c r="D20" s="14"/>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2.75"/>
  <cols>
    <col customWidth="1" min="1" max="1" width="6.38"/>
    <col customWidth="1" min="2" max="2" width="12.63"/>
    <col customWidth="1" min="3" max="7" width="18.88"/>
    <col customWidth="1" min="8" max="8" width="50.13"/>
  </cols>
  <sheetData>
    <row r="1">
      <c r="A1" s="16"/>
      <c r="B1" s="16"/>
      <c r="C1" s="16" t="s">
        <v>59</v>
      </c>
      <c r="E1" s="16"/>
      <c r="F1" s="17"/>
      <c r="G1" s="17"/>
      <c r="H1" s="16"/>
    </row>
    <row r="2">
      <c r="A2" s="18" t="s">
        <v>60</v>
      </c>
      <c r="B2" s="18" t="s">
        <v>61</v>
      </c>
      <c r="C2" s="18" t="s">
        <v>62</v>
      </c>
      <c r="D2" s="18" t="s">
        <v>63</v>
      </c>
      <c r="E2" s="18" t="s">
        <v>64</v>
      </c>
      <c r="F2" s="19" t="s">
        <v>65</v>
      </c>
      <c r="G2" s="19" t="s">
        <v>66</v>
      </c>
      <c r="H2" s="18" t="s">
        <v>67</v>
      </c>
    </row>
    <row r="3">
      <c r="A3" s="20">
        <v>0.0</v>
      </c>
      <c r="B3" s="21">
        <v>45945.0</v>
      </c>
      <c r="C3" s="12" t="s">
        <v>68</v>
      </c>
      <c r="D3" s="12" t="s">
        <v>68</v>
      </c>
      <c r="E3" s="12" t="s">
        <v>69</v>
      </c>
      <c r="F3" s="12" t="s">
        <v>68</v>
      </c>
      <c r="G3" s="12" t="s">
        <v>70</v>
      </c>
      <c r="H3" s="22" t="s">
        <v>71</v>
      </c>
    </row>
    <row r="4">
      <c r="A4" s="20">
        <v>1.0</v>
      </c>
      <c r="B4" s="23">
        <f t="shared" ref="B4:B12" si="1">B3+7</f>
        <v>45952</v>
      </c>
      <c r="C4" s="9" t="s">
        <v>72</v>
      </c>
      <c r="D4" s="12" t="s">
        <v>73</v>
      </c>
      <c r="E4" s="12" t="s">
        <v>69</v>
      </c>
      <c r="F4" s="12" t="s">
        <v>68</v>
      </c>
      <c r="G4" s="12" t="s">
        <v>70</v>
      </c>
      <c r="H4" s="24"/>
    </row>
    <row r="5">
      <c r="A5" s="20">
        <v>2.0</v>
      </c>
      <c r="B5" s="23">
        <f t="shared" si="1"/>
        <v>45959</v>
      </c>
      <c r="C5" s="9" t="s">
        <v>73</v>
      </c>
      <c r="D5" s="12" t="s">
        <v>72</v>
      </c>
      <c r="E5" s="12" t="s">
        <v>69</v>
      </c>
      <c r="F5" s="12" t="s">
        <v>74</v>
      </c>
      <c r="G5" s="12" t="s">
        <v>70</v>
      </c>
      <c r="H5" s="24"/>
    </row>
    <row r="6">
      <c r="A6" s="20">
        <v>3.0</v>
      </c>
      <c r="B6" s="23">
        <f t="shared" si="1"/>
        <v>45966</v>
      </c>
      <c r="C6" s="9" t="s">
        <v>72</v>
      </c>
      <c r="D6" s="12" t="s">
        <v>73</v>
      </c>
      <c r="E6" s="12" t="s">
        <v>69</v>
      </c>
      <c r="F6" s="12" t="s">
        <v>75</v>
      </c>
      <c r="G6" s="12" t="s">
        <v>70</v>
      </c>
      <c r="H6" s="22" t="s">
        <v>76</v>
      </c>
    </row>
    <row r="7">
      <c r="A7" s="20">
        <v>4.0</v>
      </c>
      <c r="B7" s="23">
        <f t="shared" si="1"/>
        <v>45973</v>
      </c>
      <c r="C7" s="9" t="s">
        <v>73</v>
      </c>
      <c r="D7" s="12" t="s">
        <v>72</v>
      </c>
      <c r="E7" s="12" t="s">
        <v>69</v>
      </c>
      <c r="F7" s="12" t="s">
        <v>77</v>
      </c>
      <c r="G7" s="12" t="s">
        <v>70</v>
      </c>
      <c r="H7" s="24"/>
    </row>
    <row r="8">
      <c r="A8" s="20">
        <v>5.0</v>
      </c>
      <c r="B8" s="23">
        <f t="shared" si="1"/>
        <v>45980</v>
      </c>
      <c r="C8" s="9" t="s">
        <v>72</v>
      </c>
      <c r="D8" s="12" t="s">
        <v>73</v>
      </c>
      <c r="E8" s="12" t="s">
        <v>69</v>
      </c>
      <c r="F8" s="12" t="s">
        <v>78</v>
      </c>
      <c r="G8" s="12" t="s">
        <v>70</v>
      </c>
      <c r="H8" s="24"/>
    </row>
    <row r="9">
      <c r="A9" s="20">
        <v>6.0</v>
      </c>
      <c r="B9" s="23">
        <f t="shared" si="1"/>
        <v>45987</v>
      </c>
      <c r="C9" s="9" t="s">
        <v>73</v>
      </c>
      <c r="D9" s="12" t="s">
        <v>72</v>
      </c>
      <c r="E9" s="12" t="s">
        <v>69</v>
      </c>
      <c r="F9" s="12" t="s">
        <v>79</v>
      </c>
      <c r="G9" s="12" t="s">
        <v>70</v>
      </c>
      <c r="H9" s="22" t="s">
        <v>80</v>
      </c>
    </row>
    <row r="10">
      <c r="A10" s="20">
        <v>7.0</v>
      </c>
      <c r="B10" s="23">
        <f t="shared" si="1"/>
        <v>45994</v>
      </c>
      <c r="C10" s="9" t="s">
        <v>72</v>
      </c>
      <c r="D10" s="12" t="s">
        <v>73</v>
      </c>
      <c r="E10" s="12" t="s">
        <v>69</v>
      </c>
      <c r="F10" s="12" t="s">
        <v>74</v>
      </c>
      <c r="G10" s="12" t="s">
        <v>70</v>
      </c>
      <c r="H10" s="24"/>
    </row>
    <row r="11">
      <c r="A11" s="20">
        <v>8.0</v>
      </c>
      <c r="B11" s="23">
        <f t="shared" si="1"/>
        <v>46001</v>
      </c>
      <c r="C11" s="9" t="s">
        <v>73</v>
      </c>
      <c r="D11" s="12" t="s">
        <v>72</v>
      </c>
      <c r="E11" s="12" t="s">
        <v>69</v>
      </c>
      <c r="F11" s="12" t="s">
        <v>75</v>
      </c>
      <c r="G11" s="12" t="s">
        <v>70</v>
      </c>
      <c r="H11" s="24"/>
    </row>
    <row r="12">
      <c r="A12" s="20">
        <v>9.0</v>
      </c>
      <c r="B12" s="23">
        <f t="shared" si="1"/>
        <v>46008</v>
      </c>
      <c r="C12" s="9" t="s">
        <v>72</v>
      </c>
      <c r="D12" s="12" t="s">
        <v>73</v>
      </c>
      <c r="E12" s="12" t="s">
        <v>69</v>
      </c>
      <c r="F12" s="12" t="s">
        <v>77</v>
      </c>
      <c r="G12" s="12" t="s">
        <v>70</v>
      </c>
      <c r="H12" s="24"/>
    </row>
    <row r="13">
      <c r="A13" s="20">
        <v>10.0</v>
      </c>
      <c r="B13" s="21">
        <v>46029.0</v>
      </c>
      <c r="C13" s="9" t="s">
        <v>72</v>
      </c>
      <c r="D13" s="12" t="s">
        <v>72</v>
      </c>
      <c r="E13" s="12" t="s">
        <v>69</v>
      </c>
      <c r="F13" s="12" t="s">
        <v>78</v>
      </c>
      <c r="G13" s="12" t="s">
        <v>70</v>
      </c>
      <c r="H13" s="22"/>
    </row>
    <row r="14">
      <c r="A14" s="20">
        <v>11.0</v>
      </c>
      <c r="B14" s="23">
        <f t="shared" ref="B14:B17" si="2">B13+7</f>
        <v>46036</v>
      </c>
      <c r="C14" s="9" t="s">
        <v>72</v>
      </c>
      <c r="D14" s="12" t="s">
        <v>73</v>
      </c>
      <c r="E14" s="12" t="s">
        <v>69</v>
      </c>
      <c r="F14" s="12" t="s">
        <v>79</v>
      </c>
      <c r="G14" s="12" t="s">
        <v>70</v>
      </c>
      <c r="H14" s="24"/>
    </row>
    <row r="15">
      <c r="A15" s="20">
        <v>12.0</v>
      </c>
      <c r="B15" s="23">
        <f t="shared" si="2"/>
        <v>46043</v>
      </c>
      <c r="C15" s="9" t="s">
        <v>73</v>
      </c>
      <c r="D15" s="12" t="s">
        <v>72</v>
      </c>
      <c r="E15" s="12" t="s">
        <v>69</v>
      </c>
      <c r="F15" s="12" t="s">
        <v>74</v>
      </c>
      <c r="G15" s="12" t="s">
        <v>70</v>
      </c>
      <c r="H15" s="24"/>
    </row>
    <row r="16">
      <c r="A16" s="20">
        <v>13.0</v>
      </c>
      <c r="B16" s="23">
        <f t="shared" si="2"/>
        <v>46050</v>
      </c>
      <c r="C16" s="9" t="s">
        <v>72</v>
      </c>
      <c r="D16" s="12" t="s">
        <v>73</v>
      </c>
      <c r="E16" s="12" t="s">
        <v>69</v>
      </c>
      <c r="F16" s="12" t="s">
        <v>75</v>
      </c>
      <c r="G16" s="12" t="s">
        <v>70</v>
      </c>
      <c r="H16" s="22"/>
    </row>
    <row r="17">
      <c r="A17" s="20">
        <v>14.0</v>
      </c>
      <c r="B17" s="23">
        <f t="shared" si="2"/>
        <v>46057</v>
      </c>
      <c r="C17" s="9" t="s">
        <v>73</v>
      </c>
      <c r="D17" s="12" t="s">
        <v>72</v>
      </c>
      <c r="E17" s="12" t="s">
        <v>69</v>
      </c>
      <c r="F17" s="12" t="s">
        <v>77</v>
      </c>
      <c r="G17" s="12" t="s">
        <v>70</v>
      </c>
      <c r="H17" s="22" t="s">
        <v>81</v>
      </c>
    </row>
    <row r="18">
      <c r="A18" s="25"/>
      <c r="B18" s="26"/>
      <c r="C18" s="14"/>
      <c r="D18" s="14"/>
      <c r="E18" s="14"/>
      <c r="F18" s="12"/>
      <c r="G18" s="14"/>
      <c r="H18" s="27"/>
    </row>
    <row r="19">
      <c r="A19" s="22" t="s">
        <v>82</v>
      </c>
      <c r="B19" s="28"/>
      <c r="C19" s="29"/>
      <c r="D19" s="29"/>
      <c r="E19" s="29"/>
      <c r="F19" s="29"/>
      <c r="G19" s="29"/>
      <c r="H19" s="27"/>
    </row>
    <row r="20">
      <c r="A20" s="29"/>
      <c r="B20" s="26"/>
      <c r="C20" s="14"/>
      <c r="D20" s="14"/>
      <c r="E20" s="14"/>
      <c r="F20" s="14"/>
      <c r="G20" s="14"/>
      <c r="H20" s="27"/>
    </row>
    <row r="21">
      <c r="A21" s="25"/>
      <c r="B21" s="26"/>
      <c r="C21" s="14"/>
      <c r="D21" s="14"/>
      <c r="E21" s="14"/>
      <c r="F21" s="14"/>
      <c r="G21" s="14"/>
      <c r="H21" s="27"/>
    </row>
  </sheetData>
  <mergeCells count="1">
    <mergeCell ref="C1:D1"/>
  </mergeCells>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cols>
    <col customWidth="1" min="1" max="1" width="25.13"/>
    <col customWidth="1" min="2" max="2" width="100.13"/>
  </cols>
  <sheetData>
    <row r="1">
      <c r="A1" s="30" t="s">
        <v>83</v>
      </c>
      <c r="B1" s="31"/>
    </row>
    <row r="2">
      <c r="A2" s="32"/>
      <c r="B2" s="33" t="s">
        <v>84</v>
      </c>
    </row>
    <row r="3">
      <c r="A3" s="34" t="s">
        <v>85</v>
      </c>
      <c r="B3" s="35"/>
    </row>
    <row r="4">
      <c r="A4" s="32"/>
      <c r="B4" s="33" t="s">
        <v>86</v>
      </c>
    </row>
    <row r="5">
      <c r="A5" s="34" t="s">
        <v>87</v>
      </c>
      <c r="B5" s="34" t="s">
        <v>87</v>
      </c>
    </row>
    <row r="6">
      <c r="A6" s="32"/>
      <c r="B6" s="33" t="s">
        <v>88</v>
      </c>
    </row>
    <row r="7">
      <c r="A7" s="34" t="s">
        <v>89</v>
      </c>
      <c r="B7" s="35"/>
    </row>
    <row r="8">
      <c r="A8" s="32"/>
      <c r="B8" s="33" t="s">
        <v>90</v>
      </c>
    </row>
    <row r="9">
      <c r="A9" s="34" t="s">
        <v>91</v>
      </c>
      <c r="B9" s="35"/>
    </row>
    <row r="10">
      <c r="A10" s="32"/>
      <c r="B10" s="33" t="s">
        <v>92</v>
      </c>
    </row>
    <row r="11">
      <c r="A11" s="34" t="s">
        <v>93</v>
      </c>
      <c r="B11" s="35"/>
    </row>
    <row r="12">
      <c r="A12" s="36"/>
      <c r="B12" s="33" t="s">
        <v>94</v>
      </c>
    </row>
    <row r="13">
      <c r="A13" s="34" t="s">
        <v>95</v>
      </c>
      <c r="B13" s="35"/>
    </row>
    <row r="14">
      <c r="A14" s="36"/>
      <c r="B14" s="33" t="s">
        <v>96</v>
      </c>
    </row>
    <row r="15">
      <c r="A15" s="37" t="s">
        <v>97</v>
      </c>
      <c r="B15" s="35"/>
    </row>
    <row r="16">
      <c r="A16" s="36"/>
      <c r="B16" s="33" t="s">
        <v>98</v>
      </c>
    </row>
    <row r="17">
      <c r="A17" s="37" t="s">
        <v>99</v>
      </c>
      <c r="B17" s="35"/>
    </row>
    <row r="18">
      <c r="A18" s="36"/>
      <c r="B18" s="33" t="s">
        <v>100</v>
      </c>
    </row>
    <row r="19">
      <c r="A19" s="34" t="s">
        <v>101</v>
      </c>
      <c r="B19" s="37"/>
    </row>
    <row r="21">
      <c r="A21" s="38" t="s">
        <v>66</v>
      </c>
      <c r="B21" s="9" t="s">
        <v>70</v>
      </c>
    </row>
    <row r="22">
      <c r="A22" s="38" t="s">
        <v>102</v>
      </c>
      <c r="B22" s="9" t="s">
        <v>73</v>
      </c>
    </row>
    <row r="23">
      <c r="A23" s="38" t="s">
        <v>102</v>
      </c>
      <c r="B23" s="12" t="s">
        <v>72</v>
      </c>
    </row>
    <row r="24">
      <c r="A24" s="38" t="s">
        <v>103</v>
      </c>
      <c r="B24" s="12" t="s">
        <v>104</v>
      </c>
    </row>
    <row r="25">
      <c r="A25" s="38" t="s">
        <v>103</v>
      </c>
      <c r="B25" s="13" t="s">
        <v>78</v>
      </c>
    </row>
    <row r="26">
      <c r="A26" s="38" t="s">
        <v>103</v>
      </c>
      <c r="B26" s="12" t="s">
        <v>79</v>
      </c>
    </row>
    <row r="27">
      <c r="A27" s="38" t="s">
        <v>103</v>
      </c>
      <c r="B27" s="12" t="s">
        <v>74</v>
      </c>
    </row>
    <row r="28">
      <c r="A28" s="38" t="s">
        <v>103</v>
      </c>
      <c r="B28" s="12" t="s">
        <v>75</v>
      </c>
    </row>
    <row r="29">
      <c r="A29" s="38" t="s">
        <v>103</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62.63"/>
  </cols>
  <sheetData>
    <row r="1">
      <c r="A1" s="39" t="s">
        <v>105</v>
      </c>
      <c r="B1" s="39" t="s">
        <v>106</v>
      </c>
    </row>
    <row r="2">
      <c r="A2" s="40"/>
      <c r="B2" s="41"/>
    </row>
    <row r="3">
      <c r="A3" s="42" t="s">
        <v>107</v>
      </c>
      <c r="B3" s="42" t="s">
        <v>108</v>
      </c>
    </row>
  </sheetData>
  <mergeCells count="2">
    <mergeCell ref="A3:A20"/>
    <mergeCell ref="B3:B20"/>
  </mergeCells>
  <printOptions gridLines="1" horizontalCentered="1"/>
  <pageMargins bottom="0.75" footer="0.0" header="0.0" left="0.7" right="0.7" top="0.75"/>
  <pageSetup fitToHeight="0" paperSize="9"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43" t="s">
        <v>109</v>
      </c>
      <c r="B1" s="43" t="s">
        <v>110</v>
      </c>
    </row>
    <row r="2">
      <c r="A2" s="2" t="s">
        <v>111</v>
      </c>
      <c r="B2" s="2" t="s">
        <v>112</v>
      </c>
    </row>
    <row r="3">
      <c r="A3" s="2" t="s">
        <v>113</v>
      </c>
      <c r="B3" s="2" t="s">
        <v>114</v>
      </c>
    </row>
    <row r="4">
      <c r="A4" s="2" t="s">
        <v>115</v>
      </c>
      <c r="B4" s="2" t="s">
        <v>116</v>
      </c>
    </row>
    <row r="5">
      <c r="A5" s="2" t="s">
        <v>117</v>
      </c>
      <c r="B5" s="2" t="s">
        <v>118</v>
      </c>
    </row>
    <row r="6">
      <c r="A6" s="2" t="s">
        <v>119</v>
      </c>
      <c r="B6" s="2" t="s">
        <v>120</v>
      </c>
    </row>
    <row r="7">
      <c r="A7" s="2" t="s">
        <v>121</v>
      </c>
      <c r="B7" s="2" t="s">
        <v>122</v>
      </c>
    </row>
    <row r="8">
      <c r="A8" s="2" t="s">
        <v>123</v>
      </c>
      <c r="B8" s="2" t="s">
        <v>124</v>
      </c>
    </row>
    <row r="9">
      <c r="A9" s="2" t="s">
        <v>125</v>
      </c>
      <c r="B9" s="2" t="s">
        <v>126</v>
      </c>
    </row>
    <row r="10">
      <c r="A10" s="2" t="s">
        <v>127</v>
      </c>
      <c r="B10" s="2" t="s">
        <v>128</v>
      </c>
    </row>
    <row r="11">
      <c r="A11" s="2" t="s">
        <v>129</v>
      </c>
      <c r="B11" s="2" t="s">
        <v>130</v>
      </c>
    </row>
    <row r="12">
      <c r="A12" s="2" t="s">
        <v>131</v>
      </c>
      <c r="B12" s="2" t="s">
        <v>132</v>
      </c>
    </row>
    <row r="13">
      <c r="A13" s="9" t="s">
        <v>133</v>
      </c>
      <c r="B13" s="2" t="s">
        <v>134</v>
      </c>
    </row>
    <row r="14">
      <c r="A14" s="9" t="s">
        <v>135</v>
      </c>
      <c r="B14" s="2" t="s">
        <v>136</v>
      </c>
    </row>
    <row r="15">
      <c r="A15" s="9" t="s">
        <v>137</v>
      </c>
      <c r="B15" s="2" t="s">
        <v>138</v>
      </c>
    </row>
    <row r="16">
      <c r="A16" s="2" t="s">
        <v>139</v>
      </c>
      <c r="B16" s="2" t="s">
        <v>140</v>
      </c>
    </row>
    <row r="17">
      <c r="A17" s="2" t="s">
        <v>141</v>
      </c>
      <c r="B17" s="2" t="s">
        <v>142</v>
      </c>
    </row>
    <row r="18">
      <c r="A18" s="2" t="s">
        <v>143</v>
      </c>
      <c r="B18" s="2" t="s">
        <v>144</v>
      </c>
    </row>
    <row r="19">
      <c r="A19" s="3"/>
      <c r="B19" s="3"/>
    </row>
    <row r="20">
      <c r="A20" s="3"/>
      <c r="B20" s="3"/>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s>
  <sheetData>
    <row r="1">
      <c r="A1" s="44" t="s">
        <v>145</v>
      </c>
      <c r="B1" s="4" t="s">
        <v>146</v>
      </c>
    </row>
    <row r="2">
      <c r="A2" s="45">
        <v>1.0</v>
      </c>
      <c r="B2" s="2" t="s">
        <v>147</v>
      </c>
    </row>
    <row r="3">
      <c r="A3" s="45">
        <f t="shared" ref="A3:A15" si="1">A2+1</f>
        <v>2</v>
      </c>
      <c r="B3" s="2" t="s">
        <v>147</v>
      </c>
    </row>
    <row r="4">
      <c r="A4" s="45">
        <f t="shared" si="1"/>
        <v>3</v>
      </c>
      <c r="B4" s="2" t="s">
        <v>147</v>
      </c>
    </row>
    <row r="5">
      <c r="A5" s="45">
        <f t="shared" si="1"/>
        <v>4</v>
      </c>
      <c r="B5" s="9" t="s">
        <v>148</v>
      </c>
    </row>
    <row r="6">
      <c r="A6" s="45">
        <f t="shared" si="1"/>
        <v>5</v>
      </c>
      <c r="B6" s="9" t="s">
        <v>148</v>
      </c>
    </row>
    <row r="7">
      <c r="A7" s="45">
        <f t="shared" si="1"/>
        <v>6</v>
      </c>
      <c r="B7" s="2" t="s">
        <v>149</v>
      </c>
    </row>
    <row r="8">
      <c r="A8" s="45">
        <f t="shared" si="1"/>
        <v>7</v>
      </c>
      <c r="B8" s="2" t="s">
        <v>150</v>
      </c>
    </row>
    <row r="9">
      <c r="A9" s="45">
        <f t="shared" si="1"/>
        <v>8</v>
      </c>
      <c r="B9" s="2" t="s">
        <v>151</v>
      </c>
    </row>
    <row r="10">
      <c r="A10" s="45">
        <f t="shared" si="1"/>
        <v>9</v>
      </c>
      <c r="B10" s="2" t="s">
        <v>152</v>
      </c>
    </row>
    <row r="11">
      <c r="A11" s="45">
        <f t="shared" si="1"/>
        <v>10</v>
      </c>
      <c r="B11" s="2" t="s">
        <v>153</v>
      </c>
    </row>
    <row r="12">
      <c r="A12" s="45">
        <f t="shared" si="1"/>
        <v>11</v>
      </c>
      <c r="B12" s="2" t="s">
        <v>154</v>
      </c>
    </row>
    <row r="13">
      <c r="A13" s="45">
        <f t="shared" si="1"/>
        <v>12</v>
      </c>
      <c r="B13" s="2" t="s">
        <v>155</v>
      </c>
    </row>
    <row r="14">
      <c r="A14" s="45">
        <f t="shared" si="1"/>
        <v>13</v>
      </c>
      <c r="B14" s="9" t="s">
        <v>156</v>
      </c>
    </row>
    <row r="15">
      <c r="A15" s="45">
        <f t="shared" si="1"/>
        <v>14</v>
      </c>
      <c r="B15" s="2" t="s">
        <v>157</v>
      </c>
    </row>
    <row r="16">
      <c r="A16" s="45"/>
      <c r="B16" s="2"/>
    </row>
    <row r="17">
      <c r="A17" s="45"/>
      <c r="B17" s="3"/>
    </row>
    <row r="18">
      <c r="A18" s="45"/>
      <c r="B18" s="3"/>
    </row>
    <row r="19">
      <c r="A19" s="46"/>
      <c r="B19" s="3"/>
    </row>
    <row r="20">
      <c r="A20" s="46"/>
      <c r="B20" s="3"/>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4" width="26.63"/>
  </cols>
  <sheetData>
    <row r="1">
      <c r="A1" s="44" t="s">
        <v>145</v>
      </c>
      <c r="B1" s="4" t="s">
        <v>158</v>
      </c>
      <c r="C1" s="4" t="s">
        <v>159</v>
      </c>
      <c r="D1" s="4" t="s">
        <v>160</v>
      </c>
    </row>
    <row r="2">
      <c r="A2" s="45">
        <v>1.0</v>
      </c>
      <c r="B2" s="2">
        <f>'Final Project Release plan'!F9</f>
        <v>0</v>
      </c>
      <c r="C2" s="2">
        <f>'Final Project Release plan'!D9</f>
        <v>0</v>
      </c>
      <c r="D2" s="2">
        <f>AVERAGE('Velocity Tracking'!$B$2:$B$15)</f>
        <v>15.42857143</v>
      </c>
    </row>
    <row r="3">
      <c r="A3" s="45">
        <f t="shared" ref="A3:A15" si="1">A2+1</f>
        <v>2</v>
      </c>
      <c r="B3" s="2">
        <f>'Final Project Release plan'!F10</f>
        <v>13</v>
      </c>
      <c r="C3" s="2">
        <f>'Final Project Release plan'!D10</f>
        <v>15</v>
      </c>
      <c r="D3" s="2">
        <f>AVERAGE('Velocity Tracking'!$B$2:$B$15)</f>
        <v>15.42857143</v>
      </c>
    </row>
    <row r="4">
      <c r="A4" s="45">
        <f t="shared" si="1"/>
        <v>3</v>
      </c>
      <c r="B4" s="2">
        <f>'Final Project Release plan'!F11</f>
        <v>16</v>
      </c>
      <c r="C4" s="2">
        <f>'Final Project Release plan'!D11</f>
        <v>21</v>
      </c>
      <c r="D4" s="2">
        <f>AVERAGE('Velocity Tracking'!$B$2:$B$15)</f>
        <v>15.42857143</v>
      </c>
    </row>
    <row r="5">
      <c r="A5" s="45">
        <f t="shared" si="1"/>
        <v>4</v>
      </c>
      <c r="B5" s="2">
        <f>'Final Project Release plan'!F12</f>
        <v>20</v>
      </c>
      <c r="C5" s="2">
        <f>'Final Project Release plan'!D12</f>
        <v>21</v>
      </c>
      <c r="D5" s="2">
        <f>AVERAGE('Velocity Tracking'!$B$2:$B$15)</f>
        <v>15.42857143</v>
      </c>
    </row>
    <row r="6">
      <c r="A6" s="45">
        <f t="shared" si="1"/>
        <v>5</v>
      </c>
      <c r="B6" s="2">
        <f>'Final Project Release plan'!F13</f>
        <v>20</v>
      </c>
      <c r="C6" s="2">
        <f>'Final Project Release plan'!D13</f>
        <v>18</v>
      </c>
      <c r="D6" s="2">
        <f>AVERAGE('Velocity Tracking'!$B$2:$B$15)</f>
        <v>15.42857143</v>
      </c>
    </row>
    <row r="7">
      <c r="A7" s="45">
        <f t="shared" si="1"/>
        <v>6</v>
      </c>
      <c r="B7" s="2">
        <f>'Final Project Release plan'!F14</f>
        <v>20</v>
      </c>
      <c r="C7" s="2">
        <f>'Final Project Release plan'!D14</f>
        <v>18</v>
      </c>
      <c r="D7" s="2">
        <f>AVERAGE('Velocity Tracking'!$B$2:$B$15)</f>
        <v>15.42857143</v>
      </c>
    </row>
    <row r="8">
      <c r="A8" s="45">
        <f t="shared" si="1"/>
        <v>7</v>
      </c>
      <c r="B8" s="2">
        <f>'Final Project Release plan'!F15</f>
        <v>16</v>
      </c>
      <c r="C8" s="2">
        <f>'Final Project Release plan'!D15</f>
        <v>20</v>
      </c>
      <c r="D8" s="2">
        <f>AVERAGE('Velocity Tracking'!$B$2:$B$15)</f>
        <v>15.42857143</v>
      </c>
    </row>
    <row r="9">
      <c r="A9" s="45">
        <f t="shared" si="1"/>
        <v>8</v>
      </c>
      <c r="B9" s="2">
        <f>'Final Project Release plan'!F16</f>
        <v>4</v>
      </c>
      <c r="C9" s="2">
        <f>'Final Project Release plan'!D16</f>
        <v>7</v>
      </c>
      <c r="D9" s="2">
        <f>AVERAGE('Velocity Tracking'!$B$2:$B$15)</f>
        <v>15.42857143</v>
      </c>
    </row>
    <row r="10">
      <c r="A10" s="45">
        <f t="shared" si="1"/>
        <v>9</v>
      </c>
      <c r="B10" s="2">
        <f>'Final Project Release plan'!F17</f>
        <v>26</v>
      </c>
      <c r="C10" s="2">
        <f>'Final Project Release plan'!D17</f>
        <v>20</v>
      </c>
      <c r="D10" s="2">
        <f>AVERAGE('Velocity Tracking'!$B$2:$B$15)</f>
        <v>15.42857143</v>
      </c>
    </row>
    <row r="11">
      <c r="A11" s="45">
        <f t="shared" si="1"/>
        <v>10</v>
      </c>
      <c r="B11" s="2">
        <f>'Final Project Release plan'!F18</f>
        <v>15</v>
      </c>
      <c r="C11" s="2">
        <f>'Final Project Release plan'!D18</f>
        <v>13</v>
      </c>
      <c r="D11" s="2">
        <f>AVERAGE('Velocity Tracking'!$B$2:$B$15)</f>
        <v>15.42857143</v>
      </c>
    </row>
    <row r="12">
      <c r="A12" s="45">
        <f t="shared" si="1"/>
        <v>11</v>
      </c>
      <c r="B12" s="2">
        <f>'Final Project Release plan'!F19</f>
        <v>10</v>
      </c>
      <c r="C12" s="2">
        <f>'Final Project Release plan'!D19</f>
        <v>10</v>
      </c>
      <c r="D12" s="2">
        <f>AVERAGE('Velocity Tracking'!$B$2:$B$15)</f>
        <v>15.42857143</v>
      </c>
    </row>
    <row r="13">
      <c r="A13" s="45">
        <f t="shared" si="1"/>
        <v>12</v>
      </c>
      <c r="B13" s="2">
        <f>'Final Project Release plan'!F20</f>
        <v>20</v>
      </c>
      <c r="C13" s="2">
        <f>'Final Project Release plan'!D20</f>
        <v>17</v>
      </c>
      <c r="D13" s="2">
        <f>AVERAGE('Velocity Tracking'!$B$2:$B$15)</f>
        <v>15.42857143</v>
      </c>
    </row>
    <row r="14">
      <c r="A14" s="45">
        <f t="shared" si="1"/>
        <v>13</v>
      </c>
      <c r="B14" s="2">
        <f>'Final Project Release plan'!F21</f>
        <v>20</v>
      </c>
      <c r="C14" s="2">
        <f>'Final Project Release plan'!D21</f>
        <v>17</v>
      </c>
      <c r="D14" s="2">
        <f>AVERAGE('Velocity Tracking'!$B$2:$B$15)</f>
        <v>15.42857143</v>
      </c>
    </row>
    <row r="15">
      <c r="A15" s="45">
        <f t="shared" si="1"/>
        <v>14</v>
      </c>
      <c r="B15" s="2">
        <f>'Final Project Release plan'!F22</f>
        <v>16</v>
      </c>
      <c r="C15" s="2">
        <f>'Final Project Release plan'!D22</f>
        <v>18</v>
      </c>
      <c r="D15" s="2">
        <f>AVERAGE('Velocity Tracking'!$B$2:$B$15)</f>
        <v>15.42857143</v>
      </c>
    </row>
    <row r="16">
      <c r="A16" s="45"/>
      <c r="B16" s="2" t="str">
        <f>'Final Project Release plan'!F23</f>
        <v/>
      </c>
      <c r="C16" s="2" t="str">
        <f>'Final Project Release plan'!D23</f>
        <v/>
      </c>
      <c r="D16" s="2"/>
    </row>
    <row r="17">
      <c r="A17" s="45"/>
      <c r="B17" s="3"/>
      <c r="C17" s="3"/>
      <c r="D17" s="3"/>
    </row>
    <row r="18">
      <c r="A18" s="45"/>
      <c r="B18" s="47" t="s">
        <v>161</v>
      </c>
      <c r="C18" s="47"/>
      <c r="D18" s="47"/>
    </row>
    <row r="19">
      <c r="A19" s="46"/>
      <c r="B19" s="3"/>
      <c r="C19" s="3"/>
      <c r="D19" s="3"/>
    </row>
    <row r="20">
      <c r="A20" s="46"/>
      <c r="B20" s="3"/>
      <c r="C20" s="3"/>
      <c r="D20" s="3"/>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sheetData>
    <row r="1">
      <c r="A1" s="9" t="s">
        <v>162</v>
      </c>
      <c r="B1" s="9" t="s">
        <v>163</v>
      </c>
    </row>
    <row r="2">
      <c r="A2" s="9">
        <v>2.0</v>
      </c>
      <c r="B2">
        <f>AVERAGE('Velocity Tracking'!B3)</f>
        <v>13</v>
      </c>
    </row>
    <row r="3">
      <c r="A3" s="9">
        <v>3.0</v>
      </c>
      <c r="B3">
        <f>AVERAGE('Velocity Tracking'!B3:B4)</f>
        <v>14.5</v>
      </c>
    </row>
    <row r="4">
      <c r="A4" s="9">
        <v>4.0</v>
      </c>
      <c r="B4">
        <f>AVERAGE('Velocity Tracking'!B3:B5)</f>
        <v>16.33333333</v>
      </c>
    </row>
    <row r="5">
      <c r="A5" s="9">
        <v>5.0</v>
      </c>
      <c r="B5">
        <f>AVERAGE('Velocity Tracking'!B3:B6)</f>
        <v>17.25</v>
      </c>
    </row>
    <row r="6">
      <c r="A6" s="9">
        <v>6.0</v>
      </c>
      <c r="B6">
        <f>AVERAGE('Velocity Tracking'!B3:B7)</f>
        <v>17.8</v>
      </c>
    </row>
    <row r="7">
      <c r="A7" s="9">
        <v>7.0</v>
      </c>
      <c r="B7">
        <f>AVERAGE('Velocity Tracking'!B3:B8)</f>
        <v>17.5</v>
      </c>
    </row>
    <row r="8">
      <c r="A8" s="9">
        <v>8.0</v>
      </c>
      <c r="B8">
        <f>AVERAGE('Velocity Tracking'!B3:B9)</f>
        <v>15.57142857</v>
      </c>
    </row>
    <row r="9">
      <c r="A9" s="9">
        <v>9.0</v>
      </c>
      <c r="B9">
        <f>AVERAGE('Velocity Tracking'!B3:B10)</f>
        <v>16.875</v>
      </c>
    </row>
    <row r="10">
      <c r="A10" s="9">
        <v>10.0</v>
      </c>
      <c r="B10">
        <f>AVERAGE('Velocity Tracking'!B3:B11)</f>
        <v>16.66666667</v>
      </c>
    </row>
    <row r="11">
      <c r="A11" s="9">
        <v>11.0</v>
      </c>
      <c r="B11">
        <f>AVERAGE('Velocity Tracking'!B3:B12)</f>
        <v>16</v>
      </c>
    </row>
    <row r="12">
      <c r="A12" s="9">
        <v>12.0</v>
      </c>
      <c r="B12">
        <f>AVERAGE('Velocity Tracking'!B3:B13)</f>
        <v>16.36363636</v>
      </c>
    </row>
    <row r="13">
      <c r="A13" s="9">
        <v>13.0</v>
      </c>
      <c r="B13">
        <f>AVERAGE('Velocity Tracking'!B3:B14)</f>
        <v>16.66666667</v>
      </c>
    </row>
    <row r="14">
      <c r="A14" s="9">
        <v>14.0</v>
      </c>
      <c r="B14">
        <f>AVERAGE('Velocity Tracking'!B3:B15)</f>
        <v>16.61538462</v>
      </c>
    </row>
    <row r="15">
      <c r="A15" s="9">
        <v>15.0</v>
      </c>
      <c r="B15">
        <f>AVERAGE('Velocity Tracking'!B3:B16)</f>
        <v>16.61538462</v>
      </c>
    </row>
    <row r="28">
      <c r="A28" s="9"/>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7.25"/>
    <col customWidth="1" min="2" max="2" width="5.75"/>
    <col customWidth="1" min="3" max="3" width="41.38"/>
    <col customWidth="1" min="4" max="7" width="15.75"/>
  </cols>
  <sheetData>
    <row r="1">
      <c r="A1" s="48" t="s">
        <v>162</v>
      </c>
      <c r="B1" s="49" t="s">
        <v>164</v>
      </c>
      <c r="C1" s="50" t="s">
        <v>165</v>
      </c>
      <c r="D1" s="51" t="s">
        <v>166</v>
      </c>
      <c r="E1" s="51" t="s">
        <v>167</v>
      </c>
      <c r="F1" s="51" t="s">
        <v>168</v>
      </c>
      <c r="G1" s="51" t="s">
        <v>169</v>
      </c>
    </row>
    <row r="2">
      <c r="A2" s="52"/>
      <c r="B2" s="53"/>
      <c r="C2" s="35"/>
      <c r="D2" s="35"/>
      <c r="E2" s="35"/>
      <c r="F2" s="35"/>
      <c r="G2" s="35"/>
    </row>
    <row r="3">
      <c r="A3" s="54" t="s">
        <v>170</v>
      </c>
      <c r="B3" s="55"/>
      <c r="C3" s="56"/>
      <c r="D3" s="56"/>
      <c r="E3" s="56"/>
      <c r="F3" s="56"/>
      <c r="G3" s="56"/>
    </row>
    <row r="4">
      <c r="A4" s="52"/>
      <c r="B4" s="53"/>
      <c r="C4" s="35"/>
      <c r="D4" s="35"/>
      <c r="E4" s="35"/>
      <c r="F4" s="35"/>
      <c r="G4" s="35"/>
    </row>
    <row r="5">
      <c r="A5" s="57" t="s">
        <v>171</v>
      </c>
      <c r="B5" s="58"/>
      <c r="C5" s="36"/>
      <c r="D5" s="59">
        <f>sum(D8:D14)</f>
        <v>95</v>
      </c>
      <c r="E5" s="59">
        <f>D5</f>
        <v>95</v>
      </c>
      <c r="F5" s="36"/>
      <c r="G5" s="36"/>
    </row>
    <row r="6">
      <c r="A6" s="52"/>
      <c r="B6" s="53"/>
      <c r="C6" s="35"/>
      <c r="D6" s="35"/>
      <c r="E6" s="35"/>
      <c r="F6" s="35"/>
      <c r="G6" s="35"/>
    </row>
    <row r="7">
      <c r="A7" s="60" t="s">
        <v>172</v>
      </c>
      <c r="B7" s="61"/>
      <c r="C7" s="62"/>
      <c r="D7" s="62"/>
      <c r="E7" s="62"/>
      <c r="F7" s="62"/>
      <c r="G7" s="62"/>
    </row>
    <row r="8">
      <c r="A8" s="52"/>
      <c r="B8" s="53"/>
      <c r="C8" s="35"/>
      <c r="D8" s="35"/>
      <c r="E8" s="63" t="s">
        <v>173</v>
      </c>
      <c r="F8" s="35"/>
      <c r="G8" s="63" t="s">
        <v>174</v>
      </c>
    </row>
    <row r="9">
      <c r="A9" s="64">
        <v>1.0</v>
      </c>
      <c r="B9" s="65" t="str">
        <f>'Sprint Goals'!B2</f>
        <v>None</v>
      </c>
      <c r="D9" s="59">
        <f>sum(D21:D22)</f>
        <v>2</v>
      </c>
      <c r="E9" s="59">
        <f>$D$5</f>
        <v>95</v>
      </c>
      <c r="F9" s="66">
        <f>SUM(F20:F22)</f>
        <v>0</v>
      </c>
      <c r="G9" s="59">
        <f>$D$5</f>
        <v>95</v>
      </c>
    </row>
    <row r="10">
      <c r="A10" s="52">
        <f t="shared" ref="A10:A11" si="1">A9+1</f>
        <v>2</v>
      </c>
      <c r="B10" s="67" t="str">
        <f>'Sprint Goals'!B3</f>
        <v>None</v>
      </c>
      <c r="D10" s="68">
        <f>SUM(D24:D30)</f>
        <v>15</v>
      </c>
      <c r="E10" s="69">
        <f t="shared" ref="E10:E14" si="2">E9-D9</f>
        <v>93</v>
      </c>
      <c r="F10" s="68">
        <f>SUM(F24:F30)</f>
        <v>13</v>
      </c>
      <c r="G10" s="69">
        <f t="shared" ref="G10:G14" si="3">G9-F9</f>
        <v>95</v>
      </c>
    </row>
    <row r="11">
      <c r="A11" s="64">
        <f t="shared" si="1"/>
        <v>3</v>
      </c>
      <c r="B11" s="65" t="str">
        <f>'Sprint Goals'!B4</f>
        <v>None</v>
      </c>
      <c r="D11" s="66">
        <f>SUM(D32:D39)</f>
        <v>21</v>
      </c>
      <c r="E11" s="59">
        <f t="shared" si="2"/>
        <v>78</v>
      </c>
      <c r="F11" s="66">
        <v>14.0</v>
      </c>
      <c r="G11" s="59">
        <f t="shared" si="3"/>
        <v>82</v>
      </c>
    </row>
    <row r="12">
      <c r="A12" s="70">
        <v>4.0</v>
      </c>
      <c r="B12" s="67" t="str">
        <f>'Sprint Goals'!B5</f>
        <v>Working MVP with FE, CM and 2 Nodes</v>
      </c>
      <c r="D12" s="71">
        <f>SUM(D41:D51)</f>
        <v>21</v>
      </c>
      <c r="E12" s="69">
        <f t="shared" si="2"/>
        <v>57</v>
      </c>
      <c r="F12" s="71">
        <f>SUM(F41:F51)</f>
        <v>20</v>
      </c>
      <c r="G12" s="69">
        <f t="shared" si="3"/>
        <v>68</v>
      </c>
    </row>
    <row r="13">
      <c r="A13" s="64">
        <v>5.0</v>
      </c>
      <c r="B13" s="65" t="str">
        <f>'Sprint Goals'!B6</f>
        <v>Working MVP with FE, CM and 2 Nodes</v>
      </c>
      <c r="D13" s="59">
        <f>SUM(D53:D66)</f>
        <v>18</v>
      </c>
      <c r="E13" s="59">
        <f t="shared" si="2"/>
        <v>36</v>
      </c>
      <c r="F13" s="66">
        <f>SUM(F53:F66)</f>
        <v>20</v>
      </c>
      <c r="G13" s="59">
        <f t="shared" si="3"/>
        <v>48</v>
      </c>
    </row>
    <row r="14">
      <c r="A14" s="52">
        <v>6.0</v>
      </c>
      <c r="B14" s="67" t="str">
        <f>'Sprint Goals'!B7</f>
        <v>Mid-Project Release</v>
      </c>
      <c r="D14" s="68">
        <f>SUM(D68:D77)</f>
        <v>18</v>
      </c>
      <c r="E14" s="69">
        <f t="shared" si="2"/>
        <v>18</v>
      </c>
      <c r="F14" s="68">
        <f>SUM(F68:F77)</f>
        <v>20</v>
      </c>
      <c r="G14" s="69">
        <f t="shared" si="3"/>
        <v>28</v>
      </c>
    </row>
    <row r="15">
      <c r="A15" s="64"/>
      <c r="B15" s="65"/>
      <c r="D15" s="66"/>
      <c r="E15" s="59"/>
      <c r="F15" s="66"/>
      <c r="G15" s="59"/>
    </row>
    <row r="16">
      <c r="A16" s="72"/>
      <c r="B16" s="67"/>
      <c r="E16" s="69"/>
      <c r="G16" s="69"/>
    </row>
    <row r="17">
      <c r="A17" s="73"/>
    </row>
    <row r="18">
      <c r="A18" s="74" t="s">
        <v>175</v>
      </c>
      <c r="B18" s="75"/>
      <c r="C18" s="76"/>
      <c r="D18" s="76"/>
      <c r="E18" s="76"/>
      <c r="F18" s="76"/>
      <c r="G18" s="76"/>
    </row>
    <row r="19">
      <c r="A19" s="77"/>
      <c r="B19" s="78"/>
      <c r="C19" s="77"/>
      <c r="D19" s="77"/>
      <c r="E19" s="77"/>
      <c r="F19" s="77"/>
      <c r="G19" s="77"/>
    </row>
    <row r="20">
      <c r="A20" s="79">
        <f>A9</f>
        <v>1</v>
      </c>
      <c r="B20" s="80" t="str">
        <f>'Sprint Goals'!B2</f>
        <v>None</v>
      </c>
      <c r="D20" s="81"/>
      <c r="E20" s="82"/>
      <c r="F20" s="81"/>
      <c r="G20" s="82"/>
    </row>
    <row r="21">
      <c r="A21" s="77"/>
      <c r="B21" s="77"/>
      <c r="C21" s="77" t="s">
        <v>176</v>
      </c>
      <c r="D21" s="77">
        <v>1.0</v>
      </c>
      <c r="E21" s="77"/>
      <c r="F21" s="77">
        <v>0.0</v>
      </c>
      <c r="G21" s="77"/>
    </row>
    <row r="22">
      <c r="A22" s="82"/>
      <c r="B22" s="82"/>
      <c r="C22" s="82" t="s">
        <v>177</v>
      </c>
      <c r="D22" s="82">
        <v>1.0</v>
      </c>
      <c r="E22" s="82"/>
      <c r="F22" s="82">
        <v>0.0</v>
      </c>
      <c r="G22" s="82"/>
    </row>
    <row r="23">
      <c r="A23" s="83">
        <f>A10</f>
        <v>2</v>
      </c>
      <c r="B23" s="84" t="str">
        <f>'Sprint Goals'!B3</f>
        <v>None</v>
      </c>
      <c r="D23" s="77"/>
      <c r="E23" s="77"/>
      <c r="F23" s="77"/>
      <c r="G23" s="77"/>
    </row>
    <row r="24">
      <c r="A24" s="85"/>
      <c r="B24" s="86"/>
      <c r="C24" s="35" t="s">
        <v>176</v>
      </c>
      <c r="D24" s="35">
        <v>1.0</v>
      </c>
      <c r="E24" s="35"/>
      <c r="F24" s="35">
        <v>1.0</v>
      </c>
      <c r="G24" s="35"/>
    </row>
    <row r="25">
      <c r="A25" s="64"/>
      <c r="B25" s="87"/>
      <c r="C25" s="36" t="s">
        <v>178</v>
      </c>
      <c r="D25" s="59">
        <v>3.0</v>
      </c>
      <c r="E25" s="36"/>
      <c r="F25" s="36">
        <v>2.0</v>
      </c>
      <c r="G25" s="36"/>
    </row>
    <row r="26">
      <c r="A26" s="85"/>
      <c r="B26" s="86"/>
      <c r="C26" s="86" t="s">
        <v>179</v>
      </c>
      <c r="D26" s="69">
        <v>2.0</v>
      </c>
      <c r="E26" s="86"/>
      <c r="F26" s="86">
        <v>2.0</v>
      </c>
      <c r="G26" s="86"/>
    </row>
    <row r="27">
      <c r="A27" s="64"/>
      <c r="B27" s="87"/>
      <c r="C27" s="36" t="s">
        <v>180</v>
      </c>
      <c r="D27" s="59">
        <v>3.0</v>
      </c>
      <c r="E27" s="36"/>
      <c r="F27" s="36">
        <v>3.0</v>
      </c>
      <c r="G27" s="36"/>
    </row>
    <row r="28">
      <c r="A28" s="85"/>
      <c r="B28" s="86"/>
      <c r="C28" s="35" t="s">
        <v>181</v>
      </c>
      <c r="D28" s="69">
        <v>3.0</v>
      </c>
      <c r="E28" s="86"/>
      <c r="F28" s="86">
        <v>2.0</v>
      </c>
      <c r="G28" s="86"/>
    </row>
    <row r="29">
      <c r="A29" s="64"/>
      <c r="B29" s="87"/>
      <c r="C29" s="36" t="s">
        <v>182</v>
      </c>
      <c r="D29" s="59">
        <v>2.0</v>
      </c>
      <c r="E29" s="36"/>
      <c r="F29" s="36">
        <v>2.0</v>
      </c>
      <c r="G29" s="36"/>
    </row>
    <row r="30">
      <c r="A30" s="85"/>
      <c r="B30" s="86"/>
      <c r="C30" s="35" t="s">
        <v>177</v>
      </c>
      <c r="D30" s="35">
        <v>1.0</v>
      </c>
      <c r="E30" s="35"/>
      <c r="F30" s="35">
        <v>1.0</v>
      </c>
      <c r="G30" s="35"/>
    </row>
    <row r="31">
      <c r="A31" s="64">
        <v>3.0</v>
      </c>
      <c r="B31" s="88" t="str">
        <f>'Sprint Goals'!B4</f>
        <v>None</v>
      </c>
      <c r="D31" s="59"/>
      <c r="E31" s="36"/>
      <c r="F31" s="36"/>
      <c r="G31" s="36"/>
    </row>
    <row r="32">
      <c r="A32" s="85"/>
      <c r="B32" s="86"/>
      <c r="C32" s="35" t="s">
        <v>183</v>
      </c>
      <c r="D32" s="35">
        <v>3.0</v>
      </c>
      <c r="E32" s="35"/>
      <c r="F32" s="35">
        <v>3.0</v>
      </c>
      <c r="G32" s="35"/>
    </row>
    <row r="33">
      <c r="A33" s="64"/>
      <c r="B33" s="87"/>
      <c r="C33" s="36" t="s">
        <v>184</v>
      </c>
      <c r="D33" s="59">
        <v>3.0</v>
      </c>
      <c r="E33" s="36"/>
      <c r="F33" s="36">
        <v>2.0</v>
      </c>
      <c r="G33" s="36"/>
    </row>
    <row r="34">
      <c r="A34" s="85"/>
      <c r="B34" s="86"/>
      <c r="C34" s="35" t="s">
        <v>185</v>
      </c>
      <c r="D34" s="35">
        <v>2.0</v>
      </c>
      <c r="E34" s="35"/>
      <c r="F34" s="35">
        <v>1.0</v>
      </c>
      <c r="G34" s="35"/>
    </row>
    <row r="35">
      <c r="A35" s="64"/>
      <c r="B35" s="87"/>
      <c r="C35" s="36" t="s">
        <v>186</v>
      </c>
      <c r="D35" s="59">
        <v>3.0</v>
      </c>
      <c r="E35" s="36"/>
      <c r="F35" s="36">
        <v>2.0</v>
      </c>
      <c r="G35" s="36"/>
    </row>
    <row r="36">
      <c r="A36" s="85"/>
      <c r="B36" s="86"/>
      <c r="C36" s="35" t="s">
        <v>187</v>
      </c>
      <c r="D36" s="35">
        <v>3.0</v>
      </c>
      <c r="E36" s="35"/>
      <c r="F36" s="35">
        <v>2.0</v>
      </c>
      <c r="G36" s="35"/>
    </row>
    <row r="37">
      <c r="A37" s="64"/>
      <c r="B37" s="87"/>
      <c r="C37" s="36" t="s">
        <v>188</v>
      </c>
      <c r="D37" s="59">
        <v>3.0</v>
      </c>
      <c r="E37" s="36"/>
      <c r="F37" s="36">
        <v>3.0</v>
      </c>
      <c r="G37" s="36"/>
    </row>
    <row r="38">
      <c r="A38" s="85"/>
      <c r="B38" s="86"/>
      <c r="C38" s="35" t="s">
        <v>189</v>
      </c>
      <c r="D38" s="35">
        <v>1.0</v>
      </c>
      <c r="E38" s="35"/>
      <c r="F38" s="35">
        <v>1.0</v>
      </c>
      <c r="G38" s="35"/>
    </row>
    <row r="39">
      <c r="A39" s="64"/>
      <c r="B39" s="87"/>
      <c r="C39" s="36" t="s">
        <v>190</v>
      </c>
      <c r="D39" s="59">
        <v>3.0</v>
      </c>
      <c r="E39" s="36"/>
      <c r="F39" s="36">
        <v>2.0</v>
      </c>
      <c r="G39" s="36"/>
    </row>
    <row r="40">
      <c r="A40" s="85">
        <v>4.0</v>
      </c>
      <c r="B40" s="89" t="str">
        <f>'Sprint Goals'!B5</f>
        <v>Working MVP with FE, CM and 2 Nodes</v>
      </c>
      <c r="C40" s="35"/>
      <c r="D40" s="35"/>
      <c r="E40" s="35"/>
      <c r="F40" s="35"/>
      <c r="G40" s="35"/>
    </row>
    <row r="41">
      <c r="A41" s="77"/>
      <c r="C41" s="77" t="s">
        <v>191</v>
      </c>
      <c r="D41" s="77">
        <v>3.0</v>
      </c>
      <c r="E41" s="77"/>
      <c r="F41" s="77">
        <v>3.0</v>
      </c>
      <c r="G41" s="77"/>
    </row>
    <row r="42">
      <c r="A42" s="82"/>
      <c r="B42" s="82"/>
      <c r="C42" s="82" t="s">
        <v>192</v>
      </c>
      <c r="D42" s="82">
        <v>3.0</v>
      </c>
      <c r="E42" s="82"/>
      <c r="F42" s="82">
        <v>3.0</v>
      </c>
      <c r="G42" s="82"/>
    </row>
    <row r="43">
      <c r="A43" s="77"/>
      <c r="B43" s="77"/>
      <c r="C43" s="77" t="s">
        <v>193</v>
      </c>
      <c r="D43" s="77">
        <v>3.0</v>
      </c>
      <c r="E43" s="77"/>
      <c r="F43" s="77">
        <v>3.0</v>
      </c>
      <c r="G43" s="77"/>
    </row>
    <row r="44">
      <c r="A44" s="82"/>
      <c r="B44" s="82"/>
      <c r="C44" s="82" t="s">
        <v>194</v>
      </c>
      <c r="D44" s="82">
        <v>3.0</v>
      </c>
      <c r="E44" s="82"/>
      <c r="F44" s="82">
        <v>3.0</v>
      </c>
      <c r="G44" s="82"/>
    </row>
    <row r="45">
      <c r="A45" s="77"/>
      <c r="B45" s="77"/>
      <c r="C45" s="77" t="s">
        <v>195</v>
      </c>
      <c r="D45" s="77">
        <v>3.0</v>
      </c>
      <c r="E45" s="77"/>
      <c r="F45" s="77">
        <v>3.0</v>
      </c>
      <c r="G45" s="77"/>
    </row>
    <row r="46">
      <c r="A46" s="82"/>
      <c r="B46" s="82"/>
      <c r="C46" s="82" t="s">
        <v>196</v>
      </c>
      <c r="D46" s="82">
        <v>0.0</v>
      </c>
      <c r="E46" s="82"/>
      <c r="F46" s="82">
        <v>0.0</v>
      </c>
      <c r="G46" s="82"/>
    </row>
    <row r="47">
      <c r="A47" s="77"/>
      <c r="B47" s="77"/>
      <c r="C47" s="77" t="s">
        <v>197</v>
      </c>
      <c r="D47" s="77">
        <v>3.0</v>
      </c>
      <c r="E47" s="77"/>
      <c r="F47" s="77">
        <v>2.0</v>
      </c>
      <c r="G47" s="77"/>
    </row>
    <row r="48">
      <c r="A48" s="82"/>
      <c r="B48" s="82"/>
      <c r="C48" s="82" t="s">
        <v>198</v>
      </c>
      <c r="D48" s="82">
        <v>3.0</v>
      </c>
      <c r="E48" s="82"/>
      <c r="F48" s="82">
        <v>3.0</v>
      </c>
      <c r="G48" s="82"/>
    </row>
    <row r="49">
      <c r="A49" s="77"/>
      <c r="B49" s="77"/>
      <c r="C49" s="77" t="s">
        <v>199</v>
      </c>
      <c r="D49" s="90">
        <v>0.0</v>
      </c>
      <c r="E49" s="77"/>
      <c r="F49" s="90">
        <v>0.0</v>
      </c>
      <c r="G49" s="77"/>
    </row>
    <row r="50">
      <c r="A50" s="82"/>
      <c r="B50" s="82"/>
      <c r="C50" s="82" t="s">
        <v>200</v>
      </c>
      <c r="D50" s="91">
        <v>0.0</v>
      </c>
      <c r="E50" s="82"/>
      <c r="F50" s="91">
        <v>0.0</v>
      </c>
      <c r="G50" s="82"/>
    </row>
    <row r="51">
      <c r="A51" s="77"/>
      <c r="B51" s="77"/>
      <c r="C51" s="77" t="s">
        <v>201</v>
      </c>
      <c r="D51" s="90">
        <v>0.0</v>
      </c>
      <c r="E51" s="77"/>
      <c r="F51" s="90">
        <v>0.0</v>
      </c>
      <c r="G51" s="77"/>
    </row>
    <row r="52">
      <c r="A52" s="79">
        <v>5.0</v>
      </c>
      <c r="B52" s="80" t="str">
        <f>'Sprint Goals'!B6</f>
        <v>Working MVP with FE, CM and 2 Nodes</v>
      </c>
      <c r="D52" s="82"/>
      <c r="E52" s="82"/>
      <c r="F52" s="82"/>
      <c r="G52" s="82"/>
    </row>
    <row r="53">
      <c r="A53" s="77"/>
      <c r="B53" s="77"/>
      <c r="C53" s="77" t="s">
        <v>199</v>
      </c>
      <c r="D53" s="90">
        <v>0.0</v>
      </c>
      <c r="E53" s="77"/>
      <c r="F53" s="90">
        <v>0.0</v>
      </c>
      <c r="G53" s="77"/>
    </row>
    <row r="54">
      <c r="A54" s="82"/>
      <c r="B54" s="82"/>
      <c r="C54" s="82" t="s">
        <v>200</v>
      </c>
      <c r="D54" s="82">
        <v>3.0</v>
      </c>
      <c r="E54" s="82"/>
      <c r="F54" s="91">
        <v>2.0</v>
      </c>
      <c r="G54" s="82"/>
    </row>
    <row r="55">
      <c r="A55" s="77"/>
      <c r="B55" s="77"/>
      <c r="C55" s="77" t="s">
        <v>201</v>
      </c>
      <c r="D55" s="77">
        <v>3.0</v>
      </c>
      <c r="E55" s="77"/>
      <c r="F55" s="90">
        <v>1.0</v>
      </c>
      <c r="G55" s="77"/>
    </row>
    <row r="56">
      <c r="A56" s="82"/>
      <c r="B56" s="82"/>
      <c r="C56" s="82" t="s">
        <v>202</v>
      </c>
      <c r="D56" s="91">
        <v>0.0</v>
      </c>
      <c r="E56" s="82"/>
      <c r="F56" s="91">
        <v>0.0</v>
      </c>
      <c r="G56" s="82"/>
    </row>
    <row r="57">
      <c r="A57" s="77"/>
      <c r="B57" s="77"/>
      <c r="C57" s="77" t="s">
        <v>203</v>
      </c>
      <c r="D57" s="77">
        <v>3.0</v>
      </c>
      <c r="E57" s="77"/>
      <c r="F57" s="90">
        <v>5.0</v>
      </c>
      <c r="G57" s="77"/>
    </row>
    <row r="58">
      <c r="A58" s="82"/>
      <c r="B58" s="82"/>
      <c r="C58" s="82" t="s">
        <v>204</v>
      </c>
      <c r="D58" s="91">
        <v>0.0</v>
      </c>
      <c r="E58" s="82"/>
      <c r="F58" s="91">
        <v>0.0</v>
      </c>
      <c r="G58" s="82"/>
    </row>
    <row r="59">
      <c r="A59" s="77"/>
      <c r="B59" s="77"/>
      <c r="C59" s="77" t="s">
        <v>205</v>
      </c>
      <c r="D59" s="90">
        <v>0.0</v>
      </c>
      <c r="E59" s="77"/>
      <c r="F59" s="90">
        <v>0.0</v>
      </c>
      <c r="G59" s="77"/>
    </row>
    <row r="60">
      <c r="A60" s="82"/>
      <c r="B60" s="82"/>
      <c r="C60" s="82" t="s">
        <v>206</v>
      </c>
      <c r="D60" s="91">
        <v>0.0</v>
      </c>
      <c r="E60" s="82"/>
      <c r="F60" s="91">
        <v>0.0</v>
      </c>
      <c r="G60" s="82"/>
    </row>
    <row r="61">
      <c r="A61" s="77"/>
      <c r="B61" s="77"/>
      <c r="C61" s="77" t="s">
        <v>207</v>
      </c>
      <c r="D61" s="77">
        <v>2.0</v>
      </c>
      <c r="E61" s="77"/>
      <c r="F61" s="90">
        <v>2.0</v>
      </c>
      <c r="G61" s="77"/>
    </row>
    <row r="62">
      <c r="A62" s="82"/>
      <c r="B62" s="82"/>
      <c r="C62" s="82" t="s">
        <v>208</v>
      </c>
      <c r="D62" s="82">
        <v>5.0</v>
      </c>
      <c r="E62" s="82"/>
      <c r="F62" s="91">
        <v>8.0</v>
      </c>
      <c r="G62" s="82"/>
    </row>
    <row r="63">
      <c r="A63" s="77"/>
      <c r="B63" s="77"/>
      <c r="C63" s="77" t="s">
        <v>209</v>
      </c>
      <c r="D63" s="90">
        <v>0.0</v>
      </c>
      <c r="E63" s="77"/>
      <c r="F63" s="90">
        <v>0.0</v>
      </c>
      <c r="G63" s="77"/>
    </row>
    <row r="64">
      <c r="A64" s="82"/>
      <c r="B64" s="82"/>
      <c r="C64" s="82" t="s">
        <v>210</v>
      </c>
      <c r="D64" s="91">
        <v>0.0</v>
      </c>
      <c r="E64" s="82"/>
      <c r="F64" s="91">
        <v>0.0</v>
      </c>
      <c r="G64" s="82"/>
    </row>
    <row r="65">
      <c r="A65" s="77"/>
      <c r="B65" s="77"/>
      <c r="C65" s="77" t="s">
        <v>211</v>
      </c>
      <c r="D65" s="90">
        <v>0.0</v>
      </c>
      <c r="E65" s="77"/>
      <c r="F65" s="90">
        <v>0.0</v>
      </c>
      <c r="G65" s="77"/>
    </row>
    <row r="66">
      <c r="A66" s="82"/>
      <c r="B66" s="82"/>
      <c r="C66" s="82" t="s">
        <v>212</v>
      </c>
      <c r="D66" s="82">
        <v>2.0</v>
      </c>
      <c r="E66" s="82"/>
      <c r="F66" s="91">
        <v>2.0</v>
      </c>
      <c r="G66" s="82"/>
    </row>
    <row r="67">
      <c r="A67" s="83">
        <v>6.0</v>
      </c>
      <c r="B67" s="84" t="str">
        <f>'Sprint Goals'!B7</f>
        <v>Mid-Project Release</v>
      </c>
      <c r="D67" s="77"/>
      <c r="E67" s="77"/>
      <c r="F67" s="77"/>
      <c r="G67" s="77"/>
    </row>
    <row r="68">
      <c r="A68" s="82"/>
      <c r="B68" s="82"/>
      <c r="C68" s="82" t="s">
        <v>199</v>
      </c>
      <c r="D68" s="91">
        <v>0.0</v>
      </c>
      <c r="E68" s="82"/>
      <c r="F68" s="91">
        <v>0.0</v>
      </c>
      <c r="G68" s="82"/>
    </row>
    <row r="69">
      <c r="A69" s="77"/>
      <c r="B69" s="77"/>
      <c r="C69" s="77" t="s">
        <v>205</v>
      </c>
      <c r="D69" s="77">
        <v>3.0</v>
      </c>
      <c r="E69" s="77"/>
      <c r="F69" s="90">
        <v>3.0</v>
      </c>
      <c r="G69" s="77"/>
    </row>
    <row r="70">
      <c r="A70" s="82"/>
      <c r="B70" s="82"/>
      <c r="C70" s="82" t="s">
        <v>211</v>
      </c>
      <c r="D70" s="82">
        <v>3.0</v>
      </c>
      <c r="E70" s="82"/>
      <c r="F70" s="91">
        <v>3.0</v>
      </c>
      <c r="G70" s="82"/>
    </row>
    <row r="71">
      <c r="A71" s="77"/>
      <c r="B71" s="77"/>
      <c r="C71" s="77" t="s">
        <v>206</v>
      </c>
      <c r="D71" s="90">
        <v>0.0</v>
      </c>
      <c r="E71" s="77"/>
      <c r="F71" s="90">
        <v>0.0</v>
      </c>
      <c r="G71" s="77"/>
    </row>
    <row r="72">
      <c r="A72" s="82"/>
      <c r="B72" s="82"/>
      <c r="C72" s="82" t="s">
        <v>209</v>
      </c>
      <c r="D72" s="41">
        <v>5.0</v>
      </c>
      <c r="E72" s="82"/>
      <c r="F72" s="91">
        <v>5.0</v>
      </c>
      <c r="G72" s="82"/>
    </row>
    <row r="73">
      <c r="A73" s="77"/>
      <c r="B73" s="77"/>
      <c r="C73" s="77" t="s">
        <v>210</v>
      </c>
      <c r="D73" s="90">
        <v>2.0</v>
      </c>
      <c r="E73" s="77"/>
      <c r="F73" s="90">
        <v>3.0</v>
      </c>
      <c r="G73" s="77"/>
    </row>
    <row r="74">
      <c r="A74" s="82"/>
      <c r="B74" s="82"/>
      <c r="C74" s="91" t="s">
        <v>213</v>
      </c>
      <c r="D74" s="91">
        <v>0.0</v>
      </c>
      <c r="E74" s="82"/>
      <c r="F74" s="91">
        <v>0.0</v>
      </c>
      <c r="G74" s="82"/>
    </row>
    <row r="75">
      <c r="A75" s="77"/>
      <c r="B75" s="77"/>
      <c r="C75" s="90" t="s">
        <v>214</v>
      </c>
      <c r="D75" s="90">
        <v>0.0</v>
      </c>
      <c r="E75" s="77"/>
      <c r="F75" s="90">
        <v>0.0</v>
      </c>
      <c r="G75" s="77"/>
    </row>
    <row r="76">
      <c r="A76" s="82"/>
      <c r="B76" s="82"/>
      <c r="C76" s="82" t="s">
        <v>202</v>
      </c>
      <c r="D76" s="91">
        <v>3.0</v>
      </c>
      <c r="E76" s="82"/>
      <c r="F76" s="91">
        <v>3.0</v>
      </c>
      <c r="G76" s="82"/>
    </row>
    <row r="77">
      <c r="A77" s="77"/>
      <c r="B77" s="77"/>
      <c r="C77" s="77" t="s">
        <v>204</v>
      </c>
      <c r="D77" s="90">
        <v>2.0</v>
      </c>
      <c r="E77" s="77"/>
      <c r="F77" s="90">
        <v>3.0</v>
      </c>
      <c r="G77" s="77"/>
    </row>
    <row r="78">
      <c r="A78" s="92"/>
      <c r="B78" s="93"/>
      <c r="D78" s="82"/>
      <c r="E78" s="82"/>
      <c r="F78" s="82"/>
      <c r="G78" s="82"/>
    </row>
    <row r="79">
      <c r="A79" s="77"/>
      <c r="B79" s="77"/>
      <c r="C79" s="90"/>
      <c r="D79" s="90"/>
      <c r="E79" s="77"/>
      <c r="F79" s="77"/>
      <c r="G79" s="77"/>
    </row>
    <row r="80">
      <c r="A80" s="82"/>
      <c r="B80" s="82"/>
      <c r="C80" s="91"/>
      <c r="D80" s="91"/>
      <c r="E80" s="82"/>
      <c r="F80" s="82"/>
      <c r="G80" s="82"/>
    </row>
    <row r="81">
      <c r="A81" s="77"/>
      <c r="B81" s="77"/>
      <c r="C81" s="90"/>
      <c r="D81" s="90"/>
      <c r="E81" s="77"/>
      <c r="F81" s="77"/>
      <c r="G81" s="77"/>
    </row>
    <row r="82">
      <c r="A82" s="82"/>
      <c r="B82" s="82"/>
      <c r="C82" s="91"/>
      <c r="D82" s="91"/>
      <c r="E82" s="82"/>
      <c r="F82" s="82"/>
      <c r="G82" s="82"/>
    </row>
    <row r="83">
      <c r="A83" s="77"/>
      <c r="B83" s="77"/>
      <c r="C83" s="90"/>
      <c r="D83" s="94"/>
      <c r="E83" s="77"/>
      <c r="F83" s="77"/>
      <c r="G83" s="77"/>
    </row>
    <row r="84">
      <c r="A84" s="92"/>
      <c r="B84" s="93"/>
      <c r="E84" s="82"/>
      <c r="F84" s="82"/>
      <c r="G84" s="82"/>
    </row>
    <row r="85">
      <c r="A85" s="77"/>
      <c r="B85" s="77"/>
      <c r="E85" s="77"/>
      <c r="F85" s="77"/>
      <c r="G85" s="77"/>
    </row>
    <row r="86">
      <c r="A86" s="82"/>
      <c r="B86" s="82"/>
      <c r="C86" s="91"/>
      <c r="D86" s="91"/>
      <c r="E86" s="82"/>
      <c r="F86" s="82"/>
      <c r="G86" s="82"/>
    </row>
    <row r="87">
      <c r="G87" s="77"/>
    </row>
    <row r="88">
      <c r="A88" s="85"/>
      <c r="B88" s="86"/>
      <c r="C88" s="91"/>
      <c r="D88" s="91"/>
      <c r="E88" s="35"/>
      <c r="F88" s="35"/>
      <c r="G88" s="35"/>
    </row>
    <row r="89">
      <c r="A89" s="77"/>
      <c r="B89" s="77"/>
      <c r="E89" s="77"/>
      <c r="F89" s="77"/>
      <c r="G89" s="77"/>
    </row>
    <row r="90">
      <c r="A90" s="82"/>
      <c r="B90" s="82"/>
      <c r="C90" s="82"/>
      <c r="D90" s="82"/>
      <c r="E90" s="82"/>
      <c r="F90" s="82"/>
      <c r="G90" s="82"/>
    </row>
    <row r="91">
      <c r="G91" s="77"/>
    </row>
    <row r="92">
      <c r="A92" s="85"/>
      <c r="B92" s="86"/>
      <c r="E92" s="35"/>
      <c r="F92" s="35"/>
      <c r="G92" s="35"/>
    </row>
    <row r="93">
      <c r="A93" s="77"/>
      <c r="B93" s="77"/>
      <c r="E93" s="77"/>
      <c r="F93" s="77"/>
      <c r="G93" s="77"/>
    </row>
    <row r="94">
      <c r="A94" s="82"/>
      <c r="B94" s="82"/>
      <c r="C94" s="82"/>
      <c r="D94" s="82"/>
      <c r="E94" s="82"/>
      <c r="F94" s="82"/>
      <c r="G94" s="82"/>
    </row>
    <row r="95">
      <c r="G95" s="77"/>
    </row>
    <row r="96">
      <c r="A96" s="85"/>
      <c r="B96" s="86"/>
      <c r="C96" s="35"/>
      <c r="D96" s="35"/>
      <c r="E96" s="35"/>
      <c r="F96" s="35"/>
      <c r="G96" s="35"/>
    </row>
    <row r="97">
      <c r="A97" s="77"/>
      <c r="B97" s="77"/>
      <c r="E97" s="77"/>
      <c r="F97" s="77"/>
      <c r="G97" s="77"/>
    </row>
    <row r="98">
      <c r="A98" s="82"/>
      <c r="B98" s="82"/>
      <c r="C98" s="82"/>
      <c r="D98" s="82"/>
      <c r="E98" s="82"/>
      <c r="F98" s="82"/>
      <c r="G98" s="82"/>
    </row>
    <row r="99">
      <c r="G99" s="77"/>
    </row>
    <row r="100">
      <c r="A100" s="85"/>
      <c r="B100" s="86"/>
      <c r="C100" s="35"/>
      <c r="D100" s="35"/>
      <c r="E100" s="35"/>
      <c r="F100" s="35"/>
      <c r="G100" s="35"/>
    </row>
    <row r="101">
      <c r="A101" s="77"/>
      <c r="B101" s="77"/>
      <c r="E101" s="77"/>
      <c r="F101" s="77"/>
      <c r="G101" s="77"/>
    </row>
    <row r="102">
      <c r="A102" s="82"/>
      <c r="B102" s="82"/>
      <c r="C102" s="82"/>
      <c r="D102" s="82"/>
      <c r="E102" s="82"/>
      <c r="F102" s="82"/>
      <c r="G102" s="82"/>
    </row>
    <row r="103">
      <c r="G103" s="77"/>
    </row>
    <row r="104">
      <c r="B104" s="82"/>
      <c r="C104" s="95" t="s">
        <v>215</v>
      </c>
      <c r="D104" s="82"/>
      <c r="E104" s="82"/>
      <c r="F104" s="82"/>
      <c r="G104" s="35"/>
    </row>
    <row r="105">
      <c r="A105" s="77"/>
      <c r="B105" s="77"/>
      <c r="E105" s="77"/>
      <c r="F105" s="77"/>
      <c r="G105" s="77"/>
    </row>
    <row r="106">
      <c r="A106" s="82"/>
      <c r="B106" s="82"/>
      <c r="C106" s="82"/>
      <c r="D106" s="82"/>
      <c r="E106" s="82"/>
      <c r="F106" s="82"/>
      <c r="G106" s="82"/>
    </row>
    <row r="107">
      <c r="G107" s="77"/>
    </row>
    <row r="108">
      <c r="A108" s="85"/>
      <c r="B108" s="86"/>
      <c r="C108" s="35"/>
      <c r="D108" s="35"/>
      <c r="E108" s="35"/>
      <c r="F108" s="35"/>
      <c r="G108" s="35"/>
    </row>
    <row r="109">
      <c r="A109" s="85"/>
      <c r="B109" s="86"/>
      <c r="C109" s="35"/>
      <c r="D109" s="35"/>
      <c r="E109" s="35"/>
      <c r="F109" s="35"/>
      <c r="G109" s="35"/>
    </row>
    <row r="110">
      <c r="A110" s="85"/>
      <c r="B110" s="86"/>
      <c r="C110" s="35"/>
      <c r="D110" s="35"/>
      <c r="E110" s="35"/>
      <c r="F110" s="35"/>
      <c r="G110" s="35"/>
    </row>
    <row r="111">
      <c r="A111" s="85"/>
      <c r="B111" s="86"/>
      <c r="C111" s="35"/>
      <c r="D111" s="35"/>
      <c r="E111" s="35"/>
      <c r="F111" s="35"/>
      <c r="G111" s="35"/>
    </row>
    <row r="112">
      <c r="A112" s="85"/>
      <c r="B112" s="86"/>
      <c r="C112" s="35"/>
      <c r="D112" s="35"/>
      <c r="E112" s="35"/>
      <c r="F112" s="35"/>
      <c r="G112" s="35"/>
    </row>
    <row r="113">
      <c r="A113" s="85"/>
      <c r="B113" s="86"/>
      <c r="C113" s="35"/>
      <c r="D113" s="35"/>
      <c r="E113" s="35"/>
      <c r="F113" s="35"/>
      <c r="G113" s="35"/>
    </row>
    <row r="114">
      <c r="A114" s="85"/>
      <c r="B114" s="86"/>
      <c r="C114" s="35"/>
      <c r="D114" s="35"/>
      <c r="E114" s="35"/>
      <c r="F114" s="35"/>
      <c r="G114" s="35"/>
    </row>
    <row r="115">
      <c r="A115" s="85"/>
      <c r="B115" s="86"/>
      <c r="C115" s="35"/>
      <c r="D115" s="35"/>
      <c r="E115" s="35"/>
      <c r="F115" s="35"/>
      <c r="G115" s="35"/>
    </row>
    <row r="116">
      <c r="A116" s="85"/>
      <c r="B116" s="86"/>
      <c r="C116" s="35"/>
      <c r="D116" s="35"/>
      <c r="E116" s="35"/>
      <c r="F116" s="35"/>
      <c r="G116" s="35"/>
    </row>
    <row r="117">
      <c r="A117" s="85"/>
      <c r="B117" s="86"/>
      <c r="C117" s="35"/>
      <c r="D117" s="35"/>
      <c r="E117" s="35"/>
      <c r="F117" s="35"/>
      <c r="G117" s="35"/>
    </row>
    <row r="118">
      <c r="A118" s="85"/>
      <c r="B118" s="86"/>
      <c r="C118" s="35"/>
      <c r="D118" s="35"/>
      <c r="E118" s="35"/>
      <c r="F118" s="35"/>
      <c r="G118" s="35"/>
    </row>
    <row r="119">
      <c r="A119" s="85"/>
      <c r="B119" s="86"/>
      <c r="C119" s="35"/>
      <c r="D119" s="35"/>
      <c r="E119" s="35"/>
      <c r="F119" s="35"/>
      <c r="G119" s="35"/>
    </row>
    <row r="120">
      <c r="A120" s="85"/>
      <c r="B120" s="86"/>
      <c r="C120" s="35"/>
      <c r="D120" s="35"/>
      <c r="E120" s="35"/>
      <c r="F120" s="35"/>
      <c r="G120" s="35"/>
    </row>
    <row r="121">
      <c r="A121" s="85"/>
      <c r="B121" s="86"/>
      <c r="C121" s="35"/>
      <c r="D121" s="35"/>
      <c r="E121" s="35"/>
      <c r="F121" s="35"/>
      <c r="G121" s="35"/>
    </row>
    <row r="122">
      <c r="A122" s="85"/>
      <c r="B122" s="86"/>
      <c r="C122" s="35"/>
      <c r="D122" s="35"/>
      <c r="E122" s="35"/>
      <c r="F122" s="35"/>
      <c r="G122" s="35"/>
    </row>
    <row r="123">
      <c r="A123" s="85"/>
      <c r="B123" s="86"/>
      <c r="C123" s="35"/>
      <c r="D123" s="35"/>
      <c r="E123" s="35"/>
      <c r="F123" s="35"/>
      <c r="G123" s="35"/>
    </row>
    <row r="124">
      <c r="A124" s="85"/>
      <c r="B124" s="86"/>
      <c r="C124" s="35"/>
      <c r="D124" s="35"/>
      <c r="E124" s="35"/>
      <c r="F124" s="35"/>
      <c r="G124" s="35"/>
    </row>
    <row r="125">
      <c r="A125" s="85"/>
      <c r="B125" s="86"/>
      <c r="C125" s="35"/>
      <c r="D125" s="35"/>
      <c r="E125" s="35"/>
      <c r="F125" s="35"/>
      <c r="G125" s="35"/>
    </row>
    <row r="126">
      <c r="A126" s="85"/>
      <c r="B126" s="86"/>
      <c r="C126" s="35"/>
      <c r="D126" s="35"/>
      <c r="E126" s="35"/>
      <c r="F126" s="35"/>
      <c r="G126" s="35"/>
    </row>
    <row r="127">
      <c r="A127" s="85"/>
      <c r="B127" s="86"/>
      <c r="C127" s="35"/>
      <c r="D127" s="35"/>
      <c r="E127" s="35"/>
      <c r="F127" s="35"/>
      <c r="G127" s="35"/>
    </row>
    <row r="128">
      <c r="A128" s="85"/>
      <c r="B128" s="86"/>
      <c r="C128" s="35"/>
      <c r="D128" s="35"/>
      <c r="E128" s="35"/>
      <c r="F128" s="35"/>
      <c r="G128" s="35"/>
    </row>
    <row r="129">
      <c r="A129" s="85"/>
      <c r="B129" s="86"/>
      <c r="C129" s="35"/>
      <c r="D129" s="35"/>
      <c r="E129" s="35"/>
      <c r="F129" s="35"/>
      <c r="G129" s="35"/>
    </row>
    <row r="130">
      <c r="A130" s="85"/>
      <c r="B130" s="86"/>
      <c r="C130" s="35"/>
      <c r="D130" s="35"/>
      <c r="E130" s="35"/>
      <c r="F130" s="35"/>
      <c r="G130" s="35"/>
    </row>
    <row r="131">
      <c r="A131" s="85"/>
      <c r="B131" s="86"/>
      <c r="C131" s="35"/>
      <c r="D131" s="35"/>
      <c r="E131" s="35"/>
      <c r="F131" s="35"/>
      <c r="G131" s="35"/>
    </row>
    <row r="132">
      <c r="A132" s="85"/>
      <c r="B132" s="86"/>
      <c r="C132" s="35"/>
      <c r="D132" s="35"/>
      <c r="E132" s="35"/>
      <c r="F132" s="35"/>
      <c r="G132" s="35"/>
    </row>
    <row r="133">
      <c r="A133" s="85"/>
      <c r="B133" s="86"/>
      <c r="C133" s="35"/>
      <c r="D133" s="35"/>
      <c r="E133" s="35"/>
      <c r="F133" s="35"/>
      <c r="G133" s="35"/>
    </row>
    <row r="134">
      <c r="A134" s="85"/>
      <c r="B134" s="86"/>
      <c r="C134" s="35"/>
      <c r="D134" s="35"/>
      <c r="E134" s="35"/>
      <c r="F134" s="35"/>
      <c r="G134" s="35"/>
    </row>
    <row r="135">
      <c r="A135" s="85"/>
      <c r="B135" s="86"/>
      <c r="C135" s="35"/>
      <c r="D135" s="35"/>
      <c r="E135" s="35"/>
      <c r="F135" s="35"/>
      <c r="G135" s="35"/>
    </row>
    <row r="136">
      <c r="A136" s="85"/>
      <c r="B136" s="86"/>
      <c r="C136" s="35"/>
      <c r="D136" s="35"/>
      <c r="E136" s="35"/>
      <c r="F136" s="35"/>
      <c r="G136" s="35"/>
    </row>
    <row r="137">
      <c r="A137" s="85"/>
      <c r="B137" s="86"/>
      <c r="C137" s="35"/>
      <c r="D137" s="35"/>
      <c r="E137" s="35"/>
      <c r="F137" s="35"/>
      <c r="G137" s="35"/>
    </row>
    <row r="138">
      <c r="A138" s="85"/>
      <c r="B138" s="86"/>
      <c r="C138" s="35"/>
      <c r="D138" s="35"/>
      <c r="E138" s="35"/>
      <c r="F138" s="35"/>
      <c r="G138" s="35"/>
    </row>
  </sheetData>
  <mergeCells count="15">
    <mergeCell ref="B16:C16"/>
    <mergeCell ref="B20:C20"/>
    <mergeCell ref="B23:C23"/>
    <mergeCell ref="B31:C31"/>
    <mergeCell ref="B52:C52"/>
    <mergeCell ref="B67:C67"/>
    <mergeCell ref="B78:C78"/>
    <mergeCell ref="B84:C84"/>
    <mergeCell ref="B9:C9"/>
    <mergeCell ref="B10:C10"/>
    <mergeCell ref="B11:C11"/>
    <mergeCell ref="B12:C12"/>
    <mergeCell ref="B13:C13"/>
    <mergeCell ref="B14:C14"/>
    <mergeCell ref="B15:C15"/>
  </mergeCells>
  <printOptions gridLines="1" horizontalCentered="1"/>
  <pageMargins bottom="0.75" footer="0.0" header="0.0" left="0.7" right="0.7" top="0.75"/>
  <pageSetup fitToHeight="0" paperSize="9"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cols>
    <col customWidth="1" min="1" max="1" width="15.5"/>
  </cols>
  <sheetData>
    <row r="1">
      <c r="A1" s="9" t="s">
        <v>216</v>
      </c>
    </row>
    <row r="2">
      <c r="A2">
        <f>'Mid-Project Release plan'!D5</f>
        <v>95</v>
      </c>
      <c r="B2">
        <f>'Velocity Chart'!B5</f>
        <v>17.25</v>
      </c>
    </row>
    <row r="3">
      <c r="A3">
        <f t="shared" ref="A3:A8" si="1">A2-B2</f>
        <v>77.75</v>
      </c>
      <c r="B3">
        <f>'Velocity Chart'!B6</f>
        <v>17.8</v>
      </c>
    </row>
    <row r="4">
      <c r="A4">
        <f t="shared" si="1"/>
        <v>59.95</v>
      </c>
      <c r="B4">
        <f>'Velocity Chart'!B7</f>
        <v>17.5</v>
      </c>
    </row>
    <row r="5">
      <c r="A5">
        <f t="shared" si="1"/>
        <v>42.45</v>
      </c>
      <c r="B5">
        <f>'Velocity Chart'!B8</f>
        <v>15.57142857</v>
      </c>
    </row>
    <row r="6">
      <c r="A6">
        <f t="shared" si="1"/>
        <v>26.87857143</v>
      </c>
      <c r="B6">
        <f>'Velocity Chart'!B9</f>
        <v>16.875</v>
      </c>
    </row>
    <row r="7">
      <c r="A7">
        <f t="shared" si="1"/>
        <v>10.00357143</v>
      </c>
      <c r="B7">
        <f>'Velocity Chart'!B10</f>
        <v>16.66666667</v>
      </c>
    </row>
    <row r="8">
      <c r="A8">
        <f t="shared" si="1"/>
        <v>-6.663095238</v>
      </c>
      <c r="B8">
        <f>'Velocity Chart'!B11</f>
        <v>16</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7.38"/>
    <col customWidth="1" min="2" max="2" width="6.38"/>
    <col customWidth="1" min="3" max="3" width="52.38"/>
    <col customWidth="1" min="4" max="7" width="15.75"/>
  </cols>
  <sheetData>
    <row r="1">
      <c r="A1" s="48" t="s">
        <v>162</v>
      </c>
      <c r="B1" s="96" t="s">
        <v>164</v>
      </c>
      <c r="C1" s="50" t="s">
        <v>165</v>
      </c>
      <c r="D1" s="51" t="s">
        <v>166</v>
      </c>
      <c r="E1" s="51" t="s">
        <v>167</v>
      </c>
      <c r="F1" s="51" t="s">
        <v>168</v>
      </c>
      <c r="G1" s="51" t="s">
        <v>169</v>
      </c>
    </row>
    <row r="2">
      <c r="A2" s="52"/>
      <c r="B2" s="35"/>
      <c r="C2" s="35"/>
      <c r="D2" s="35"/>
      <c r="E2" s="35"/>
      <c r="F2" s="35"/>
      <c r="G2" s="35"/>
    </row>
    <row r="3">
      <c r="A3" s="54" t="s">
        <v>170</v>
      </c>
      <c r="B3" s="56"/>
      <c r="C3" s="56"/>
      <c r="D3" s="56"/>
      <c r="E3" s="56"/>
      <c r="F3" s="56"/>
      <c r="G3" s="56"/>
    </row>
    <row r="4">
      <c r="A4" s="52"/>
      <c r="B4" s="35"/>
      <c r="C4" s="35"/>
      <c r="D4" s="35"/>
      <c r="E4" s="35"/>
      <c r="F4" s="35"/>
      <c r="G4" s="35"/>
    </row>
    <row r="5">
      <c r="A5" s="57" t="s">
        <v>171</v>
      </c>
      <c r="B5" s="36"/>
      <c r="C5" s="36"/>
      <c r="D5" s="59">
        <f>sum(D9:D22)</f>
        <v>215</v>
      </c>
      <c r="E5" s="59">
        <f>D5</f>
        <v>215</v>
      </c>
      <c r="F5" s="36"/>
      <c r="G5" s="36"/>
    </row>
    <row r="6">
      <c r="A6" s="52"/>
      <c r="B6" s="35"/>
      <c r="C6" s="35"/>
      <c r="D6" s="35"/>
      <c r="E6" s="35"/>
      <c r="F6" s="35"/>
      <c r="G6" s="35"/>
    </row>
    <row r="7">
      <c r="A7" s="60" t="s">
        <v>172</v>
      </c>
      <c r="B7" s="97"/>
      <c r="C7" s="62"/>
      <c r="D7" s="62"/>
      <c r="E7" s="62"/>
      <c r="F7" s="62"/>
      <c r="G7" s="62"/>
    </row>
    <row r="8">
      <c r="A8" s="52"/>
      <c r="B8" s="35"/>
      <c r="C8" s="35"/>
      <c r="D8" s="35"/>
      <c r="E8" s="63" t="s">
        <v>173</v>
      </c>
      <c r="F8" s="35"/>
      <c r="G8" s="63" t="s">
        <v>174</v>
      </c>
    </row>
    <row r="9">
      <c r="A9" s="64">
        <v>1.0</v>
      </c>
      <c r="B9" s="65" t="str">
        <f>'Sprint Goals'!B2</f>
        <v>None</v>
      </c>
      <c r="D9" s="59">
        <f>sum(D28:D29)</f>
        <v>0</v>
      </c>
      <c r="E9" s="59">
        <f>$D$5</f>
        <v>215</v>
      </c>
      <c r="F9" s="66">
        <f>SUM(F28:F29)</f>
        <v>0</v>
      </c>
      <c r="G9" s="59">
        <f>$D$5</f>
        <v>215</v>
      </c>
    </row>
    <row r="10">
      <c r="A10" s="52">
        <f t="shared" ref="A10:A22" si="1">A9+1</f>
        <v>2</v>
      </c>
      <c r="B10" s="67" t="str">
        <f>'Sprint Goals'!B3</f>
        <v>None</v>
      </c>
      <c r="D10" s="68">
        <f>SUM(D31:D37)</f>
        <v>15</v>
      </c>
      <c r="E10" s="69">
        <f t="shared" ref="E10:E22" si="2">E9-D9</f>
        <v>215</v>
      </c>
      <c r="F10" s="68">
        <f>SUM(F31:F37)</f>
        <v>13</v>
      </c>
      <c r="G10" s="69">
        <f t="shared" ref="G10:G22" si="3">G9-F9</f>
        <v>215</v>
      </c>
    </row>
    <row r="11">
      <c r="A11" s="98">
        <f t="shared" si="1"/>
        <v>3</v>
      </c>
      <c r="B11" s="65" t="str">
        <f>'Sprint Goals'!B4</f>
        <v>None</v>
      </c>
      <c r="D11" s="66">
        <f>SUM(D39:D46)</f>
        <v>21</v>
      </c>
      <c r="E11" s="59">
        <f t="shared" si="2"/>
        <v>200</v>
      </c>
      <c r="F11" s="66">
        <f>SUM(F39:F46)</f>
        <v>16</v>
      </c>
      <c r="G11" s="59">
        <f t="shared" si="3"/>
        <v>202</v>
      </c>
    </row>
    <row r="12">
      <c r="A12" s="52">
        <f t="shared" si="1"/>
        <v>4</v>
      </c>
      <c r="B12" s="67" t="str">
        <f>'Sprint Goals'!B5</f>
        <v>Working MVP with FE, CM and 2 Nodes</v>
      </c>
      <c r="D12" s="71">
        <f>SUM(D48:D58)</f>
        <v>21</v>
      </c>
      <c r="E12" s="69">
        <f t="shared" si="2"/>
        <v>179</v>
      </c>
      <c r="F12" s="71">
        <f>SUM(F48:F58)</f>
        <v>20</v>
      </c>
      <c r="G12" s="69">
        <f t="shared" si="3"/>
        <v>186</v>
      </c>
    </row>
    <row r="13">
      <c r="A13" s="98">
        <f t="shared" si="1"/>
        <v>5</v>
      </c>
      <c r="B13" s="65" t="str">
        <f>'Sprint Goals'!B6</f>
        <v>Working MVP with FE, CM and 2 Nodes</v>
      </c>
      <c r="D13" s="59">
        <f>SUM(D60:D73)</f>
        <v>18</v>
      </c>
      <c r="E13" s="59">
        <f t="shared" si="2"/>
        <v>158</v>
      </c>
      <c r="F13" s="66">
        <f>SUM(F60:F73)</f>
        <v>20</v>
      </c>
      <c r="G13" s="59">
        <f t="shared" si="3"/>
        <v>166</v>
      </c>
    </row>
    <row r="14">
      <c r="A14" s="52">
        <f t="shared" si="1"/>
        <v>6</v>
      </c>
      <c r="B14" s="67" t="str">
        <f>'Sprint Goals'!B7</f>
        <v>Mid-Project Release</v>
      </c>
      <c r="D14" s="68">
        <f>SUM(D75:D84)</f>
        <v>18</v>
      </c>
      <c r="E14" s="69">
        <f t="shared" si="2"/>
        <v>140</v>
      </c>
      <c r="F14" s="68">
        <f>SUM(F75:F84)</f>
        <v>20</v>
      </c>
      <c r="G14" s="69">
        <f t="shared" si="3"/>
        <v>146</v>
      </c>
    </row>
    <row r="15">
      <c r="A15" s="98">
        <f t="shared" si="1"/>
        <v>7</v>
      </c>
      <c r="B15" s="65" t="str">
        <f>'Sprint Goals'!B8</f>
        <v>Working Backup Schedules and Mock Tasks</v>
      </c>
      <c r="D15" s="66">
        <f>SUM(D86:D90)</f>
        <v>20</v>
      </c>
      <c r="E15" s="59">
        <f t="shared" si="2"/>
        <v>122</v>
      </c>
      <c r="F15" s="66">
        <f>SUM(F86:F90)</f>
        <v>16</v>
      </c>
      <c r="G15" s="59">
        <f t="shared" si="3"/>
        <v>126</v>
      </c>
    </row>
    <row r="16">
      <c r="A16" s="52">
        <f t="shared" si="1"/>
        <v>8</v>
      </c>
      <c r="B16" s="67" t="str">
        <f>'Sprint Goals'!B9</f>
        <v>Working Permissions / User Groups + Bulk Data</v>
      </c>
      <c r="D16" s="41">
        <f>SUM(D92:D97)</f>
        <v>7</v>
      </c>
      <c r="E16" s="69">
        <f t="shared" si="2"/>
        <v>102</v>
      </c>
      <c r="F16" s="40">
        <f>SUM(F92:F97)</f>
        <v>4</v>
      </c>
      <c r="G16" s="59">
        <f t="shared" si="3"/>
        <v>110</v>
      </c>
    </row>
    <row r="17">
      <c r="A17" s="98">
        <f t="shared" si="1"/>
        <v>9</v>
      </c>
      <c r="B17" s="99" t="str">
        <f>'Sprint Goals'!B10</f>
        <v>Advanced Cluster Management</v>
      </c>
      <c r="D17" s="100">
        <f>SUM(D99:D103)</f>
        <v>20</v>
      </c>
      <c r="E17" s="100">
        <f t="shared" si="2"/>
        <v>95</v>
      </c>
      <c r="F17" s="100">
        <f>SUM(F99:F103)</f>
        <v>26</v>
      </c>
      <c r="G17" s="59">
        <f t="shared" si="3"/>
        <v>106</v>
      </c>
    </row>
    <row r="18">
      <c r="A18" s="52">
        <f t="shared" si="1"/>
        <v>10</v>
      </c>
      <c r="B18" s="101" t="str">
        <f>'Sprint Goals'!B11</f>
        <v>Advanced Cluster Management Pt2</v>
      </c>
      <c r="D18" s="40">
        <f>SUM(D105:D107)</f>
        <v>13</v>
      </c>
      <c r="E18" s="40">
        <f t="shared" si="2"/>
        <v>75</v>
      </c>
      <c r="F18" s="40">
        <f>SUM(F105:F107)</f>
        <v>15</v>
      </c>
      <c r="G18" s="59">
        <f t="shared" si="3"/>
        <v>80</v>
      </c>
    </row>
    <row r="19">
      <c r="A19" s="98">
        <f t="shared" si="1"/>
        <v>11</v>
      </c>
      <c r="B19" s="99" t="str">
        <f>'Sprint Goals'!B12</f>
        <v>Groups/Permissions + Webflux</v>
      </c>
      <c r="D19" s="100">
        <f>SUM(D109:D116)</f>
        <v>10</v>
      </c>
      <c r="E19" s="100">
        <f t="shared" si="2"/>
        <v>62</v>
      </c>
      <c r="F19" s="100">
        <f>SUM(F109:F116)</f>
        <v>10</v>
      </c>
      <c r="G19" s="59">
        <f t="shared" si="3"/>
        <v>65</v>
      </c>
    </row>
    <row r="20">
      <c r="A20" s="52">
        <f t="shared" si="1"/>
        <v>12</v>
      </c>
      <c r="B20" s="101" t="str">
        <f>'Sprint Goals'!B13</f>
        <v>Polishing + Metrics</v>
      </c>
      <c r="D20" s="41">
        <f>SUM(D118:D124)</f>
        <v>17</v>
      </c>
      <c r="E20" s="40">
        <f t="shared" si="2"/>
        <v>52</v>
      </c>
      <c r="F20" s="40">
        <f>SUM(F118:F124)</f>
        <v>20</v>
      </c>
      <c r="G20" s="59">
        <f t="shared" si="3"/>
        <v>55</v>
      </c>
    </row>
    <row r="21">
      <c r="A21" s="98">
        <f t="shared" si="1"/>
        <v>13</v>
      </c>
      <c r="B21" s="99" t="str">
        <f>'Sprint Goals'!B14</f>
        <v>QA/Fixing</v>
      </c>
      <c r="D21" s="100">
        <f>SUM(D126:D133)</f>
        <v>17</v>
      </c>
      <c r="E21" s="100">
        <f t="shared" si="2"/>
        <v>35</v>
      </c>
      <c r="F21" s="102">
        <f>SUM(F126:F133)</f>
        <v>20</v>
      </c>
      <c r="G21" s="59">
        <f t="shared" si="3"/>
        <v>35</v>
      </c>
    </row>
    <row r="22">
      <c r="A22" s="52">
        <f t="shared" si="1"/>
        <v>14</v>
      </c>
      <c r="B22" s="101" t="str">
        <f>'Sprint Goals'!B15</f>
        <v>Final Project Release</v>
      </c>
      <c r="D22" s="40">
        <f>SUM(D135:D140)</f>
        <v>18</v>
      </c>
      <c r="E22" s="40">
        <f t="shared" si="2"/>
        <v>18</v>
      </c>
      <c r="F22" s="40">
        <f>SUM(F135:F140)</f>
        <v>16</v>
      </c>
      <c r="G22" s="59">
        <f t="shared" si="3"/>
        <v>15</v>
      </c>
    </row>
    <row r="23">
      <c r="A23" s="98"/>
      <c r="B23" s="99" t="str">
        <f>'Sprint Goals'!B16</f>
        <v/>
      </c>
      <c r="G23" s="59"/>
    </row>
    <row r="24">
      <c r="A24" s="52"/>
    </row>
    <row r="25">
      <c r="A25" s="74" t="s">
        <v>175</v>
      </c>
      <c r="B25" s="75"/>
      <c r="C25" s="76"/>
      <c r="D25" s="76"/>
      <c r="E25" s="76"/>
      <c r="F25" s="76"/>
      <c r="G25" s="76"/>
    </row>
    <row r="26">
      <c r="A26" s="82"/>
      <c r="B26" s="81"/>
      <c r="C26" s="82"/>
      <c r="D26" s="82"/>
      <c r="E26" s="82"/>
      <c r="F26" s="82"/>
      <c r="G26" s="82"/>
    </row>
    <row r="27">
      <c r="A27" s="83">
        <f>A9</f>
        <v>1</v>
      </c>
      <c r="B27" s="84" t="str">
        <f>'Sprint Goals'!B2</f>
        <v>None</v>
      </c>
      <c r="D27" s="78"/>
      <c r="E27" s="77"/>
      <c r="F27" s="78"/>
      <c r="G27" s="77"/>
    </row>
    <row r="28">
      <c r="A28" s="82"/>
      <c r="B28" s="82"/>
      <c r="C28" s="82" t="s">
        <v>176</v>
      </c>
      <c r="D28" s="91">
        <v>0.0</v>
      </c>
      <c r="E28" s="82"/>
      <c r="F28" s="82">
        <v>0.0</v>
      </c>
      <c r="G28" s="82"/>
    </row>
    <row r="29">
      <c r="A29" s="77"/>
      <c r="B29" s="77"/>
      <c r="C29" s="77" t="s">
        <v>177</v>
      </c>
      <c r="D29" s="90">
        <v>0.0</v>
      </c>
      <c r="E29" s="77"/>
      <c r="F29" s="77">
        <v>0.0</v>
      </c>
      <c r="G29" s="77"/>
    </row>
    <row r="30">
      <c r="A30" s="79">
        <f>A10</f>
        <v>2</v>
      </c>
      <c r="B30" s="80" t="str">
        <f>'Sprint Goals'!B3</f>
        <v>None</v>
      </c>
      <c r="D30" s="82"/>
      <c r="E30" s="82"/>
      <c r="F30" s="82"/>
      <c r="G30" s="82"/>
    </row>
    <row r="31">
      <c r="A31" s="85"/>
      <c r="B31" s="86"/>
      <c r="C31" s="35" t="s">
        <v>176</v>
      </c>
      <c r="D31" s="35">
        <v>1.0</v>
      </c>
      <c r="E31" s="35"/>
      <c r="F31" s="35">
        <v>1.0</v>
      </c>
      <c r="G31" s="35"/>
    </row>
    <row r="32">
      <c r="A32" s="64"/>
      <c r="B32" s="87"/>
      <c r="C32" s="36" t="s">
        <v>178</v>
      </c>
      <c r="D32" s="59">
        <v>3.0</v>
      </c>
      <c r="E32" s="36"/>
      <c r="F32" s="36">
        <v>2.0</v>
      </c>
      <c r="G32" s="36"/>
    </row>
    <row r="33">
      <c r="A33" s="85"/>
      <c r="B33" s="86"/>
      <c r="C33" s="86" t="s">
        <v>179</v>
      </c>
      <c r="D33" s="69">
        <v>2.0</v>
      </c>
      <c r="E33" s="86"/>
      <c r="F33" s="86">
        <v>2.0</v>
      </c>
      <c r="G33" s="86"/>
    </row>
    <row r="34">
      <c r="A34" s="64"/>
      <c r="B34" s="87"/>
      <c r="C34" s="36" t="s">
        <v>180</v>
      </c>
      <c r="D34" s="59">
        <v>3.0</v>
      </c>
      <c r="E34" s="36"/>
      <c r="F34" s="36">
        <v>3.0</v>
      </c>
      <c r="G34" s="36"/>
    </row>
    <row r="35">
      <c r="A35" s="85"/>
      <c r="B35" s="86"/>
      <c r="C35" s="35" t="s">
        <v>181</v>
      </c>
      <c r="D35" s="69">
        <v>3.0</v>
      </c>
      <c r="E35" s="86"/>
      <c r="F35" s="86">
        <v>2.0</v>
      </c>
      <c r="G35" s="86"/>
    </row>
    <row r="36">
      <c r="A36" s="64"/>
      <c r="B36" s="87"/>
      <c r="C36" s="36" t="s">
        <v>182</v>
      </c>
      <c r="D36" s="59">
        <v>2.0</v>
      </c>
      <c r="E36" s="36"/>
      <c r="F36" s="36">
        <v>2.0</v>
      </c>
      <c r="G36" s="36"/>
    </row>
    <row r="37">
      <c r="A37" s="85"/>
      <c r="B37" s="86"/>
      <c r="C37" s="35" t="s">
        <v>177</v>
      </c>
      <c r="D37" s="35">
        <v>1.0</v>
      </c>
      <c r="E37" s="35"/>
      <c r="F37" s="35">
        <v>1.0</v>
      </c>
      <c r="G37" s="35"/>
    </row>
    <row r="38">
      <c r="A38" s="64">
        <v>3.0</v>
      </c>
      <c r="B38" s="88" t="str">
        <f>'Sprint Goals'!B4</f>
        <v>None</v>
      </c>
      <c r="D38" s="59"/>
      <c r="E38" s="36"/>
      <c r="F38" s="36"/>
      <c r="G38" s="36"/>
    </row>
    <row r="39">
      <c r="A39" s="85"/>
      <c r="B39" s="86"/>
      <c r="C39" s="35" t="s">
        <v>183</v>
      </c>
      <c r="D39" s="35">
        <v>3.0</v>
      </c>
      <c r="E39" s="35"/>
      <c r="F39" s="35">
        <v>3.0</v>
      </c>
      <c r="G39" s="35"/>
    </row>
    <row r="40">
      <c r="A40" s="64"/>
      <c r="B40" s="87"/>
      <c r="C40" s="36" t="s">
        <v>184</v>
      </c>
      <c r="D40" s="59">
        <v>3.0</v>
      </c>
      <c r="E40" s="36"/>
      <c r="F40" s="36">
        <v>2.0</v>
      </c>
      <c r="G40" s="36"/>
    </row>
    <row r="41">
      <c r="A41" s="85"/>
      <c r="B41" s="86"/>
      <c r="C41" s="35" t="s">
        <v>185</v>
      </c>
      <c r="D41" s="35">
        <v>2.0</v>
      </c>
      <c r="E41" s="35"/>
      <c r="F41" s="35">
        <v>1.0</v>
      </c>
      <c r="G41" s="35"/>
    </row>
    <row r="42">
      <c r="A42" s="64"/>
      <c r="B42" s="87"/>
      <c r="C42" s="36" t="s">
        <v>186</v>
      </c>
      <c r="D42" s="59">
        <v>3.0</v>
      </c>
      <c r="E42" s="36"/>
      <c r="F42" s="36">
        <v>2.0</v>
      </c>
      <c r="G42" s="36"/>
    </row>
    <row r="43">
      <c r="A43" s="85"/>
      <c r="B43" s="86"/>
      <c r="C43" s="35" t="s">
        <v>187</v>
      </c>
      <c r="D43" s="35">
        <v>3.0</v>
      </c>
      <c r="E43" s="35"/>
      <c r="F43" s="35">
        <v>2.0</v>
      </c>
      <c r="G43" s="35"/>
    </row>
    <row r="44">
      <c r="A44" s="64"/>
      <c r="B44" s="87"/>
      <c r="C44" s="36" t="s">
        <v>188</v>
      </c>
      <c r="D44" s="59">
        <v>3.0</v>
      </c>
      <c r="E44" s="36"/>
      <c r="F44" s="36">
        <v>3.0</v>
      </c>
      <c r="G44" s="36"/>
    </row>
    <row r="45">
      <c r="A45" s="85"/>
      <c r="B45" s="86"/>
      <c r="C45" s="35" t="s">
        <v>189</v>
      </c>
      <c r="D45" s="35">
        <v>1.0</v>
      </c>
      <c r="E45" s="35"/>
      <c r="F45" s="35">
        <v>1.0</v>
      </c>
      <c r="G45" s="35"/>
    </row>
    <row r="46">
      <c r="A46" s="64"/>
      <c r="B46" s="87"/>
      <c r="C46" s="36" t="s">
        <v>190</v>
      </c>
      <c r="D46" s="59">
        <v>3.0</v>
      </c>
      <c r="E46" s="36"/>
      <c r="F46" s="36">
        <v>2.0</v>
      </c>
      <c r="G46" s="36"/>
    </row>
    <row r="47">
      <c r="A47" s="85">
        <v>4.0</v>
      </c>
      <c r="B47" s="89" t="str">
        <f>'Sprint Goals'!B5</f>
        <v>Working MVP with FE, CM and 2 Nodes</v>
      </c>
      <c r="C47" s="35"/>
      <c r="D47" s="35"/>
      <c r="E47" s="35"/>
      <c r="F47" s="35"/>
      <c r="G47" s="35"/>
    </row>
    <row r="48">
      <c r="A48" s="82"/>
      <c r="C48" s="82" t="s">
        <v>191</v>
      </c>
      <c r="D48" s="82">
        <v>3.0</v>
      </c>
      <c r="E48" s="82"/>
      <c r="F48" s="82">
        <v>3.0</v>
      </c>
      <c r="G48" s="82"/>
    </row>
    <row r="49">
      <c r="A49" s="77"/>
      <c r="B49" s="77"/>
      <c r="C49" s="77" t="s">
        <v>192</v>
      </c>
      <c r="D49" s="77">
        <v>3.0</v>
      </c>
      <c r="E49" s="77"/>
      <c r="F49" s="77">
        <v>3.0</v>
      </c>
      <c r="G49" s="77"/>
    </row>
    <row r="50">
      <c r="A50" s="82"/>
      <c r="B50" s="82"/>
      <c r="C50" s="82" t="s">
        <v>193</v>
      </c>
      <c r="D50" s="82">
        <v>3.0</v>
      </c>
      <c r="E50" s="82"/>
      <c r="F50" s="82">
        <v>3.0</v>
      </c>
      <c r="G50" s="82"/>
    </row>
    <row r="51">
      <c r="A51" s="77"/>
      <c r="B51" s="77"/>
      <c r="C51" s="77" t="s">
        <v>194</v>
      </c>
      <c r="D51" s="77">
        <v>3.0</v>
      </c>
      <c r="E51" s="77"/>
      <c r="F51" s="77">
        <v>3.0</v>
      </c>
      <c r="G51" s="77"/>
    </row>
    <row r="52">
      <c r="A52" s="82"/>
      <c r="B52" s="82"/>
      <c r="C52" s="82" t="s">
        <v>195</v>
      </c>
      <c r="D52" s="82">
        <v>3.0</v>
      </c>
      <c r="E52" s="82"/>
      <c r="F52" s="82">
        <v>3.0</v>
      </c>
      <c r="G52" s="82"/>
    </row>
    <row r="53">
      <c r="A53" s="77"/>
      <c r="B53" s="77"/>
      <c r="C53" s="77" t="s">
        <v>196</v>
      </c>
      <c r="D53" s="77">
        <v>0.0</v>
      </c>
      <c r="E53" s="77"/>
      <c r="F53" s="77">
        <v>0.0</v>
      </c>
      <c r="G53" s="77"/>
    </row>
    <row r="54">
      <c r="A54" s="82"/>
      <c r="B54" s="82"/>
      <c r="C54" s="82" t="s">
        <v>197</v>
      </c>
      <c r="D54" s="82">
        <v>3.0</v>
      </c>
      <c r="E54" s="82"/>
      <c r="F54" s="82">
        <v>2.0</v>
      </c>
      <c r="G54" s="82"/>
    </row>
    <row r="55">
      <c r="A55" s="77"/>
      <c r="B55" s="77"/>
      <c r="C55" s="77" t="s">
        <v>198</v>
      </c>
      <c r="D55" s="77">
        <v>3.0</v>
      </c>
      <c r="E55" s="77"/>
      <c r="F55" s="77">
        <v>3.0</v>
      </c>
      <c r="G55" s="77"/>
    </row>
    <row r="56">
      <c r="A56" s="82"/>
      <c r="B56" s="82"/>
      <c r="C56" s="82" t="s">
        <v>199</v>
      </c>
      <c r="D56" s="91">
        <v>0.0</v>
      </c>
      <c r="E56" s="82"/>
      <c r="F56" s="91">
        <v>0.0</v>
      </c>
      <c r="G56" s="82"/>
    </row>
    <row r="57">
      <c r="A57" s="77"/>
      <c r="B57" s="77"/>
      <c r="C57" s="77" t="s">
        <v>200</v>
      </c>
      <c r="D57" s="90">
        <v>0.0</v>
      </c>
      <c r="E57" s="77"/>
      <c r="F57" s="90">
        <v>0.0</v>
      </c>
      <c r="G57" s="77"/>
    </row>
    <row r="58">
      <c r="A58" s="82"/>
      <c r="B58" s="82"/>
      <c r="C58" s="82" t="s">
        <v>201</v>
      </c>
      <c r="D58" s="91">
        <v>0.0</v>
      </c>
      <c r="E58" s="82"/>
      <c r="F58" s="91">
        <v>0.0</v>
      </c>
      <c r="G58" s="82"/>
    </row>
    <row r="59">
      <c r="A59" s="83">
        <v>5.0</v>
      </c>
      <c r="B59" s="84" t="str">
        <f>'Sprint Goals'!B6</f>
        <v>Working MVP with FE, CM and 2 Nodes</v>
      </c>
      <c r="D59" s="77"/>
      <c r="E59" s="77"/>
      <c r="F59" s="77"/>
      <c r="G59" s="77"/>
    </row>
    <row r="60">
      <c r="A60" s="82"/>
      <c r="B60" s="82"/>
      <c r="C60" s="82" t="s">
        <v>199</v>
      </c>
      <c r="D60" s="91">
        <v>0.0</v>
      </c>
      <c r="E60" s="82"/>
      <c r="F60" s="91">
        <v>0.0</v>
      </c>
      <c r="G60" s="82"/>
    </row>
    <row r="61">
      <c r="A61" s="77"/>
      <c r="B61" s="77"/>
      <c r="C61" s="77" t="s">
        <v>200</v>
      </c>
      <c r="D61" s="77">
        <v>3.0</v>
      </c>
      <c r="E61" s="77"/>
      <c r="F61" s="90">
        <v>2.0</v>
      </c>
      <c r="G61" s="77"/>
    </row>
    <row r="62">
      <c r="A62" s="82"/>
      <c r="B62" s="82"/>
      <c r="C62" s="82" t="s">
        <v>201</v>
      </c>
      <c r="D62" s="82">
        <v>3.0</v>
      </c>
      <c r="E62" s="82"/>
      <c r="F62" s="91">
        <v>1.0</v>
      </c>
      <c r="G62" s="82"/>
    </row>
    <row r="63">
      <c r="A63" s="77"/>
      <c r="B63" s="77"/>
      <c r="C63" s="77" t="s">
        <v>202</v>
      </c>
      <c r="D63" s="90">
        <v>0.0</v>
      </c>
      <c r="E63" s="77"/>
      <c r="F63" s="90">
        <v>0.0</v>
      </c>
      <c r="G63" s="77"/>
    </row>
    <row r="64">
      <c r="A64" s="82"/>
      <c r="B64" s="82"/>
      <c r="C64" s="82" t="s">
        <v>203</v>
      </c>
      <c r="D64" s="82">
        <v>3.0</v>
      </c>
      <c r="E64" s="82"/>
      <c r="F64" s="91">
        <v>5.0</v>
      </c>
      <c r="G64" s="82"/>
    </row>
    <row r="65">
      <c r="A65" s="77"/>
      <c r="B65" s="77"/>
      <c r="C65" s="77" t="s">
        <v>204</v>
      </c>
      <c r="D65" s="90">
        <v>0.0</v>
      </c>
      <c r="E65" s="77"/>
      <c r="F65" s="90">
        <v>0.0</v>
      </c>
      <c r="G65" s="77"/>
    </row>
    <row r="66">
      <c r="A66" s="82"/>
      <c r="B66" s="82"/>
      <c r="C66" s="82" t="s">
        <v>205</v>
      </c>
      <c r="D66" s="91">
        <v>0.0</v>
      </c>
      <c r="E66" s="82"/>
      <c r="F66" s="91">
        <v>0.0</v>
      </c>
      <c r="G66" s="82"/>
    </row>
    <row r="67">
      <c r="A67" s="77"/>
      <c r="B67" s="77"/>
      <c r="C67" s="77" t="s">
        <v>206</v>
      </c>
      <c r="D67" s="90">
        <v>0.0</v>
      </c>
      <c r="E67" s="77"/>
      <c r="F67" s="90">
        <v>0.0</v>
      </c>
      <c r="G67" s="77"/>
    </row>
    <row r="68">
      <c r="A68" s="82"/>
      <c r="B68" s="82"/>
      <c r="C68" s="82" t="s">
        <v>207</v>
      </c>
      <c r="D68" s="82">
        <v>2.0</v>
      </c>
      <c r="E68" s="82"/>
      <c r="F68" s="91">
        <v>2.0</v>
      </c>
      <c r="G68" s="82"/>
    </row>
    <row r="69">
      <c r="A69" s="77"/>
      <c r="B69" s="77"/>
      <c r="C69" s="77" t="s">
        <v>208</v>
      </c>
      <c r="D69" s="77">
        <v>5.0</v>
      </c>
      <c r="E69" s="77"/>
      <c r="F69" s="90">
        <v>8.0</v>
      </c>
      <c r="G69" s="77"/>
    </row>
    <row r="70">
      <c r="A70" s="82"/>
      <c r="B70" s="82"/>
      <c r="C70" s="82" t="s">
        <v>209</v>
      </c>
      <c r="D70" s="91">
        <v>0.0</v>
      </c>
      <c r="E70" s="82"/>
      <c r="F70" s="91">
        <v>0.0</v>
      </c>
      <c r="G70" s="82"/>
    </row>
    <row r="71">
      <c r="A71" s="77"/>
      <c r="B71" s="77"/>
      <c r="C71" s="77" t="s">
        <v>210</v>
      </c>
      <c r="D71" s="90">
        <v>0.0</v>
      </c>
      <c r="E71" s="77"/>
      <c r="F71" s="90">
        <v>0.0</v>
      </c>
      <c r="G71" s="77"/>
    </row>
    <row r="72">
      <c r="A72" s="82"/>
      <c r="B72" s="82"/>
      <c r="C72" s="82" t="s">
        <v>211</v>
      </c>
      <c r="D72" s="91">
        <v>0.0</v>
      </c>
      <c r="E72" s="82"/>
      <c r="F72" s="91">
        <v>0.0</v>
      </c>
      <c r="G72" s="82"/>
    </row>
    <row r="73">
      <c r="A73" s="77"/>
      <c r="B73" s="77"/>
      <c r="C73" s="77" t="s">
        <v>212</v>
      </c>
      <c r="D73" s="77">
        <v>2.0</v>
      </c>
      <c r="E73" s="77"/>
      <c r="F73" s="90">
        <v>2.0</v>
      </c>
      <c r="G73" s="77"/>
    </row>
    <row r="74">
      <c r="A74" s="79">
        <v>6.0</v>
      </c>
      <c r="B74" s="80" t="str">
        <f>'Sprint Goals'!B7</f>
        <v>Mid-Project Release</v>
      </c>
      <c r="D74" s="82"/>
      <c r="E74" s="82"/>
      <c r="F74" s="82"/>
      <c r="G74" s="82"/>
    </row>
    <row r="75">
      <c r="A75" s="77"/>
      <c r="B75" s="77"/>
      <c r="C75" s="77" t="s">
        <v>199</v>
      </c>
      <c r="D75" s="90">
        <v>0.0</v>
      </c>
      <c r="E75" s="77"/>
      <c r="F75" s="90">
        <v>0.0</v>
      </c>
      <c r="G75" s="77"/>
    </row>
    <row r="76">
      <c r="A76" s="82"/>
      <c r="B76" s="82"/>
      <c r="C76" s="82" t="s">
        <v>205</v>
      </c>
      <c r="D76" s="82">
        <v>3.0</v>
      </c>
      <c r="E76" s="82"/>
      <c r="F76" s="91">
        <v>3.0</v>
      </c>
      <c r="G76" s="82"/>
    </row>
    <row r="77">
      <c r="A77" s="77"/>
      <c r="B77" s="77"/>
      <c r="C77" s="77" t="s">
        <v>211</v>
      </c>
      <c r="D77" s="77">
        <v>3.0</v>
      </c>
      <c r="E77" s="77"/>
      <c r="F77" s="90">
        <v>3.0</v>
      </c>
      <c r="G77" s="77"/>
    </row>
    <row r="78">
      <c r="A78" s="82"/>
      <c r="B78" s="82"/>
      <c r="C78" s="82" t="s">
        <v>206</v>
      </c>
      <c r="D78" s="91">
        <v>0.0</v>
      </c>
      <c r="E78" s="82"/>
      <c r="F78" s="91">
        <v>0.0</v>
      </c>
      <c r="G78" s="82"/>
    </row>
    <row r="79">
      <c r="A79" s="77"/>
      <c r="B79" s="77"/>
      <c r="C79" s="77" t="s">
        <v>209</v>
      </c>
      <c r="D79" s="102">
        <v>5.0</v>
      </c>
      <c r="E79" s="77"/>
      <c r="F79" s="90">
        <v>5.0</v>
      </c>
      <c r="G79" s="77"/>
    </row>
    <row r="80">
      <c r="A80" s="82"/>
      <c r="B80" s="82"/>
      <c r="C80" s="82" t="s">
        <v>210</v>
      </c>
      <c r="D80" s="91">
        <v>2.0</v>
      </c>
      <c r="E80" s="82"/>
      <c r="F80" s="91">
        <v>3.0</v>
      </c>
      <c r="G80" s="82"/>
    </row>
    <row r="81">
      <c r="A81" s="77"/>
      <c r="B81" s="77"/>
      <c r="C81" s="90" t="s">
        <v>213</v>
      </c>
      <c r="D81" s="90">
        <v>0.0</v>
      </c>
      <c r="E81" s="77"/>
      <c r="F81" s="90">
        <v>0.0</v>
      </c>
      <c r="G81" s="77"/>
    </row>
    <row r="82">
      <c r="A82" s="82"/>
      <c r="B82" s="82"/>
      <c r="C82" s="91" t="s">
        <v>214</v>
      </c>
      <c r="D82" s="91">
        <v>0.0</v>
      </c>
      <c r="E82" s="82"/>
      <c r="F82" s="91">
        <v>0.0</v>
      </c>
      <c r="G82" s="82"/>
    </row>
    <row r="83">
      <c r="A83" s="77"/>
      <c r="B83" s="77"/>
      <c r="C83" s="77" t="s">
        <v>202</v>
      </c>
      <c r="D83" s="90">
        <v>3.0</v>
      </c>
      <c r="E83" s="77"/>
      <c r="F83" s="90">
        <v>3.0</v>
      </c>
      <c r="G83" s="77"/>
    </row>
    <row r="84">
      <c r="A84" s="82"/>
      <c r="B84" s="82"/>
      <c r="C84" s="82" t="s">
        <v>204</v>
      </c>
      <c r="D84" s="91">
        <v>2.0</v>
      </c>
      <c r="E84" s="82"/>
      <c r="F84" s="91">
        <v>3.0</v>
      </c>
      <c r="G84" s="82"/>
    </row>
    <row r="85">
      <c r="A85" s="103">
        <v>7.0</v>
      </c>
      <c r="B85" s="104" t="str">
        <f>'Sprint Goals'!B8</f>
        <v>Working Backup Schedules and Mock Tasks</v>
      </c>
      <c r="D85" s="77"/>
      <c r="E85" s="77"/>
      <c r="F85" s="77"/>
      <c r="G85" s="77"/>
    </row>
    <row r="86">
      <c r="A86" s="82"/>
      <c r="B86" s="82"/>
      <c r="C86" s="91" t="s">
        <v>213</v>
      </c>
      <c r="D86" s="91">
        <v>5.0</v>
      </c>
      <c r="E86" s="82"/>
      <c r="F86" s="91">
        <v>5.0</v>
      </c>
      <c r="G86" s="82"/>
    </row>
    <row r="87">
      <c r="A87" s="77"/>
      <c r="B87" s="77"/>
      <c r="C87" s="90" t="s">
        <v>214</v>
      </c>
      <c r="D87" s="90">
        <v>5.0</v>
      </c>
      <c r="E87" s="77"/>
      <c r="F87" s="90">
        <v>3.0</v>
      </c>
      <c r="G87" s="77"/>
    </row>
    <row r="88">
      <c r="A88" s="82"/>
      <c r="B88" s="82"/>
      <c r="C88" s="91" t="s">
        <v>199</v>
      </c>
      <c r="D88" s="91">
        <v>2.0</v>
      </c>
      <c r="E88" s="82"/>
      <c r="F88" s="91">
        <v>2.0</v>
      </c>
      <c r="G88" s="82"/>
    </row>
    <row r="89">
      <c r="A89" s="77"/>
      <c r="B89" s="77"/>
      <c r="C89" s="90" t="s">
        <v>206</v>
      </c>
      <c r="D89" s="90">
        <v>3.0</v>
      </c>
      <c r="E89" s="77"/>
      <c r="F89" s="90">
        <v>1.0</v>
      </c>
      <c r="G89" s="77"/>
    </row>
    <row r="90">
      <c r="A90" s="82"/>
      <c r="B90" s="82"/>
      <c r="C90" s="91" t="s">
        <v>217</v>
      </c>
      <c r="D90" s="91">
        <v>5.0</v>
      </c>
      <c r="E90" s="82"/>
      <c r="F90" s="91">
        <v>5.0</v>
      </c>
      <c r="G90" s="82"/>
    </row>
    <row r="91">
      <c r="A91" s="103">
        <v>8.0</v>
      </c>
      <c r="B91" s="104" t="str">
        <f>'Sprint Goals'!B9</f>
        <v>Working Permissions / User Groups + Bulk Data</v>
      </c>
      <c r="E91" s="77"/>
      <c r="F91" s="77"/>
      <c r="G91" s="77"/>
    </row>
    <row r="92">
      <c r="A92" s="82"/>
      <c r="B92" s="82"/>
      <c r="C92" s="41" t="s">
        <v>218</v>
      </c>
      <c r="D92" s="41">
        <v>2.0</v>
      </c>
      <c r="E92" s="82"/>
      <c r="F92" s="91">
        <v>2.0</v>
      </c>
      <c r="G92" s="82"/>
    </row>
    <row r="93">
      <c r="A93" s="77"/>
      <c r="B93" s="77"/>
      <c r="C93" s="102" t="s">
        <v>219</v>
      </c>
      <c r="D93" s="102">
        <v>0.0</v>
      </c>
      <c r="E93" s="77"/>
      <c r="F93" s="90">
        <v>0.0</v>
      </c>
      <c r="G93" s="77"/>
    </row>
    <row r="94">
      <c r="A94" s="82"/>
      <c r="B94" s="82"/>
      <c r="C94" s="91" t="s">
        <v>220</v>
      </c>
      <c r="D94" s="91">
        <v>0.0</v>
      </c>
      <c r="E94" s="82"/>
      <c r="F94" s="91">
        <v>0.0</v>
      </c>
      <c r="G94" s="82"/>
    </row>
    <row r="95">
      <c r="A95" s="103"/>
      <c r="B95" s="104"/>
      <c r="C95" s="102" t="s">
        <v>221</v>
      </c>
      <c r="D95" s="90">
        <v>5.0</v>
      </c>
      <c r="E95" s="77"/>
      <c r="F95" s="90">
        <v>2.0</v>
      </c>
      <c r="G95" s="77"/>
    </row>
    <row r="96">
      <c r="A96" s="92"/>
      <c r="B96" s="93"/>
      <c r="C96" s="91" t="s">
        <v>222</v>
      </c>
      <c r="D96" s="91">
        <v>0.0</v>
      </c>
      <c r="E96" s="82"/>
      <c r="F96" s="91">
        <v>0.0</v>
      </c>
      <c r="G96" s="82"/>
    </row>
    <row r="97">
      <c r="A97" s="103"/>
      <c r="B97" s="104"/>
      <c r="C97" s="90" t="s">
        <v>223</v>
      </c>
      <c r="D97" s="90">
        <v>0.0</v>
      </c>
      <c r="E97" s="77"/>
      <c r="F97" s="90">
        <v>0.0</v>
      </c>
      <c r="G97" s="90"/>
    </row>
    <row r="98">
      <c r="A98" s="92">
        <v>9.0</v>
      </c>
      <c r="B98" s="93" t="str">
        <f>'Sprint Goals'!B10</f>
        <v>Advanced Cluster Management</v>
      </c>
      <c r="D98" s="91"/>
      <c r="E98" s="82"/>
      <c r="F98" s="82"/>
      <c r="G98" s="82"/>
    </row>
    <row r="99">
      <c r="A99" s="103"/>
      <c r="B99" s="104"/>
      <c r="C99" s="90" t="s">
        <v>223</v>
      </c>
      <c r="D99" s="90">
        <v>3.0</v>
      </c>
      <c r="E99" s="77"/>
      <c r="F99" s="90">
        <v>3.0</v>
      </c>
      <c r="G99" s="77"/>
    </row>
    <row r="100">
      <c r="A100" s="92"/>
      <c r="B100" s="93"/>
      <c r="C100" s="91" t="s">
        <v>219</v>
      </c>
      <c r="D100" s="91">
        <v>5.0</v>
      </c>
      <c r="E100" s="82"/>
      <c r="F100" s="91">
        <v>8.0</v>
      </c>
      <c r="G100" s="82"/>
    </row>
    <row r="101">
      <c r="A101" s="103"/>
      <c r="B101" s="104"/>
      <c r="C101" s="90" t="s">
        <v>222</v>
      </c>
      <c r="D101" s="90">
        <v>5.0</v>
      </c>
      <c r="E101" s="77"/>
      <c r="F101" s="90">
        <v>8.0</v>
      </c>
      <c r="G101" s="77"/>
    </row>
    <row r="102">
      <c r="A102" s="92"/>
      <c r="B102" s="93"/>
      <c r="C102" s="91" t="s">
        <v>220</v>
      </c>
      <c r="D102" s="91">
        <v>2.0</v>
      </c>
      <c r="E102" s="82"/>
      <c r="F102" s="91">
        <v>2.0</v>
      </c>
      <c r="G102" s="82"/>
    </row>
    <row r="103">
      <c r="A103" s="103"/>
      <c r="B103" s="105"/>
      <c r="C103" s="90" t="s">
        <v>224</v>
      </c>
      <c r="D103" s="90">
        <v>5.0</v>
      </c>
      <c r="E103" s="77"/>
      <c r="F103" s="90">
        <v>5.0</v>
      </c>
      <c r="G103" s="77"/>
    </row>
    <row r="104">
      <c r="A104" s="92">
        <v>10.0</v>
      </c>
      <c r="B104" s="93" t="str">
        <f>'Sprint Goals'!B11</f>
        <v>Advanced Cluster Management Pt2</v>
      </c>
      <c r="D104" s="91"/>
      <c r="E104" s="82"/>
      <c r="F104" s="82"/>
      <c r="G104" s="82"/>
    </row>
    <row r="105">
      <c r="A105" s="103"/>
      <c r="B105" s="106" t="s">
        <v>225</v>
      </c>
      <c r="C105" s="90" t="s">
        <v>226</v>
      </c>
      <c r="D105" s="90">
        <v>5.0</v>
      </c>
      <c r="E105" s="77"/>
      <c r="F105" s="90">
        <v>5.0</v>
      </c>
      <c r="G105" s="77"/>
    </row>
    <row r="106">
      <c r="A106" s="92"/>
      <c r="B106" s="107" t="s">
        <v>227</v>
      </c>
      <c r="C106" s="91" t="s">
        <v>228</v>
      </c>
      <c r="D106" s="91">
        <v>5.0</v>
      </c>
      <c r="E106" s="82"/>
      <c r="F106" s="91">
        <v>5.0</v>
      </c>
      <c r="G106" s="82"/>
    </row>
    <row r="107">
      <c r="A107" s="103"/>
      <c r="B107" s="106" t="s">
        <v>229</v>
      </c>
      <c r="C107" s="90" t="s">
        <v>230</v>
      </c>
      <c r="D107" s="90">
        <v>3.0</v>
      </c>
      <c r="E107" s="77"/>
      <c r="F107" s="90">
        <v>5.0</v>
      </c>
      <c r="G107" s="77"/>
    </row>
    <row r="108">
      <c r="A108" s="92">
        <v>11.0</v>
      </c>
      <c r="B108" s="93" t="str">
        <f>'Sprint Goals'!B12</f>
        <v>Groups/Permissions + Webflux</v>
      </c>
      <c r="D108" s="91"/>
      <c r="E108" s="82"/>
      <c r="F108" s="82"/>
      <c r="G108" s="82"/>
    </row>
    <row r="109">
      <c r="A109" s="103"/>
      <c r="B109" s="106" t="s">
        <v>231</v>
      </c>
      <c r="C109" s="90" t="s">
        <v>232</v>
      </c>
      <c r="D109" s="90">
        <v>0.0</v>
      </c>
      <c r="F109" s="102">
        <v>0.0</v>
      </c>
    </row>
    <row r="110">
      <c r="A110" s="92"/>
      <c r="B110" s="107" t="s">
        <v>233</v>
      </c>
      <c r="C110" s="91" t="s">
        <v>234</v>
      </c>
      <c r="D110" s="91">
        <v>3.0</v>
      </c>
      <c r="E110" s="82"/>
      <c r="F110" s="91">
        <v>5.0</v>
      </c>
      <c r="G110" s="82"/>
    </row>
    <row r="111">
      <c r="A111" s="103"/>
      <c r="B111" s="106" t="s">
        <v>235</v>
      </c>
      <c r="C111" s="90" t="s">
        <v>236</v>
      </c>
      <c r="D111" s="90">
        <v>5.0</v>
      </c>
      <c r="E111" s="77"/>
      <c r="F111" s="90">
        <v>3.0</v>
      </c>
      <c r="G111" s="77"/>
    </row>
    <row r="112">
      <c r="B112" s="108" t="s">
        <v>237</v>
      </c>
      <c r="C112" s="41" t="s">
        <v>238</v>
      </c>
      <c r="D112" s="41">
        <v>0.0</v>
      </c>
      <c r="F112" s="41">
        <v>0.0</v>
      </c>
    </row>
    <row r="113">
      <c r="A113" s="103"/>
      <c r="B113" s="106" t="s">
        <v>239</v>
      </c>
      <c r="C113" s="90" t="s">
        <v>240</v>
      </c>
      <c r="D113" s="90">
        <v>2.0</v>
      </c>
      <c r="E113" s="77"/>
      <c r="F113" s="90">
        <v>2.0</v>
      </c>
      <c r="G113" s="77"/>
    </row>
    <row r="114">
      <c r="A114" s="92"/>
      <c r="B114" s="107" t="s">
        <v>241</v>
      </c>
      <c r="C114" s="91" t="s">
        <v>242</v>
      </c>
      <c r="D114" s="91">
        <v>0.0</v>
      </c>
      <c r="E114" s="82"/>
      <c r="F114" s="91">
        <v>0.0</v>
      </c>
      <c r="G114" s="82"/>
    </row>
    <row r="115">
      <c r="A115" s="103"/>
      <c r="B115" s="106" t="s">
        <v>243</v>
      </c>
      <c r="C115" s="90" t="s">
        <v>244</v>
      </c>
      <c r="D115" s="90">
        <v>0.0</v>
      </c>
      <c r="E115" s="77"/>
      <c r="F115" s="90">
        <v>0.0</v>
      </c>
      <c r="G115" s="77"/>
    </row>
    <row r="116">
      <c r="A116" s="92"/>
      <c r="B116" s="107" t="s">
        <v>245</v>
      </c>
      <c r="C116" s="91" t="s">
        <v>246</v>
      </c>
      <c r="D116" s="91">
        <v>0.0</v>
      </c>
      <c r="E116" s="82"/>
      <c r="F116" s="91">
        <v>0.0</v>
      </c>
      <c r="G116" s="82"/>
    </row>
    <row r="117">
      <c r="A117" s="103">
        <v>12.0</v>
      </c>
      <c r="B117" s="104" t="str">
        <f>'Sprint Goals'!B13</f>
        <v>Polishing + Metrics</v>
      </c>
      <c r="E117" s="77"/>
      <c r="F117" s="77"/>
      <c r="G117" s="77"/>
    </row>
    <row r="118">
      <c r="A118" s="92"/>
      <c r="B118" s="107" t="s">
        <v>231</v>
      </c>
      <c r="C118" s="91" t="s">
        <v>232</v>
      </c>
      <c r="D118" s="91">
        <v>5.0</v>
      </c>
      <c r="F118" s="41">
        <v>8.0</v>
      </c>
    </row>
    <row r="119">
      <c r="B119" s="109" t="s">
        <v>237</v>
      </c>
      <c r="C119" s="102" t="s">
        <v>238</v>
      </c>
      <c r="D119" s="102">
        <v>5.0</v>
      </c>
      <c r="F119" s="102">
        <v>5.0</v>
      </c>
    </row>
    <row r="120">
      <c r="A120" s="92"/>
      <c r="B120" s="107" t="s">
        <v>247</v>
      </c>
      <c r="C120" s="91" t="s">
        <v>248</v>
      </c>
      <c r="D120" s="91">
        <v>5.0</v>
      </c>
      <c r="E120" s="82"/>
      <c r="F120" s="91">
        <v>3.0</v>
      </c>
      <c r="G120" s="82"/>
    </row>
    <row r="121">
      <c r="A121" s="103"/>
      <c r="B121" s="106" t="s">
        <v>249</v>
      </c>
      <c r="C121" s="90" t="s">
        <v>250</v>
      </c>
      <c r="D121" s="90">
        <v>0.0</v>
      </c>
      <c r="E121" s="77"/>
      <c r="F121" s="90">
        <v>0.0</v>
      </c>
      <c r="G121" s="77"/>
    </row>
    <row r="122">
      <c r="A122" s="92"/>
      <c r="B122" s="107" t="s">
        <v>241</v>
      </c>
      <c r="C122" s="91" t="s">
        <v>242</v>
      </c>
      <c r="D122" s="91">
        <v>0.0</v>
      </c>
      <c r="E122" s="91"/>
      <c r="F122" s="91">
        <v>0.0</v>
      </c>
    </row>
    <row r="123">
      <c r="A123" s="103"/>
      <c r="B123" s="106" t="s">
        <v>243</v>
      </c>
      <c r="C123" s="90" t="s">
        <v>244</v>
      </c>
      <c r="D123" s="90">
        <v>1.0</v>
      </c>
      <c r="E123" s="77"/>
      <c r="F123" s="90">
        <v>2.0</v>
      </c>
      <c r="G123" s="77"/>
    </row>
    <row r="124">
      <c r="A124" s="92"/>
      <c r="B124" s="107" t="s">
        <v>245</v>
      </c>
      <c r="C124" s="91" t="s">
        <v>246</v>
      </c>
      <c r="D124" s="91">
        <v>1.0</v>
      </c>
      <c r="E124" s="82"/>
      <c r="F124" s="91">
        <v>2.0</v>
      </c>
      <c r="G124" s="82"/>
    </row>
    <row r="125">
      <c r="A125" s="103">
        <v>13.0</v>
      </c>
      <c r="B125" s="104" t="str">
        <f>'Sprint Goals'!B14</f>
        <v>QA/Fixing</v>
      </c>
      <c r="D125" s="90"/>
      <c r="E125" s="77"/>
      <c r="F125" s="77"/>
      <c r="G125" s="77"/>
    </row>
    <row r="126">
      <c r="A126" s="81"/>
      <c r="B126" s="110" t="s">
        <v>249</v>
      </c>
      <c r="C126" s="81" t="s">
        <v>250</v>
      </c>
      <c r="D126" s="111">
        <v>2.0</v>
      </c>
      <c r="E126" s="82"/>
      <c r="F126" s="111">
        <v>2.0</v>
      </c>
      <c r="G126" s="82"/>
    </row>
    <row r="127">
      <c r="A127" s="103"/>
      <c r="B127" s="106" t="s">
        <v>241</v>
      </c>
      <c r="C127" s="90" t="s">
        <v>242</v>
      </c>
      <c r="D127" s="90">
        <v>2.0</v>
      </c>
      <c r="E127" s="77"/>
      <c r="F127" s="90">
        <v>2.0</v>
      </c>
    </row>
    <row r="128">
      <c r="A128" s="92"/>
      <c r="B128" s="107" t="s">
        <v>251</v>
      </c>
      <c r="C128" s="91" t="s">
        <v>252</v>
      </c>
      <c r="D128" s="91">
        <v>3.0</v>
      </c>
      <c r="E128" s="82"/>
      <c r="F128" s="91">
        <v>2.0</v>
      </c>
      <c r="G128" s="82"/>
    </row>
    <row r="129">
      <c r="A129" s="103"/>
      <c r="B129" s="106" t="s">
        <v>253</v>
      </c>
      <c r="C129" s="90" t="s">
        <v>254</v>
      </c>
      <c r="D129" s="90">
        <v>0.0</v>
      </c>
      <c r="E129" s="77"/>
      <c r="F129" s="90">
        <v>0.0</v>
      </c>
      <c r="G129" s="77"/>
    </row>
    <row r="130">
      <c r="A130" s="92"/>
      <c r="B130" s="107" t="s">
        <v>255</v>
      </c>
      <c r="C130" s="112" t="s">
        <v>256</v>
      </c>
      <c r="D130" s="91">
        <v>2.0</v>
      </c>
      <c r="E130" s="82"/>
      <c r="F130" s="91">
        <v>3.0</v>
      </c>
      <c r="G130" s="82"/>
    </row>
    <row r="131">
      <c r="A131" s="103"/>
      <c r="B131" s="106" t="s">
        <v>257</v>
      </c>
      <c r="C131" s="113" t="s">
        <v>258</v>
      </c>
      <c r="D131" s="90">
        <v>3.0</v>
      </c>
      <c r="E131" s="77"/>
      <c r="F131" s="90">
        <v>3.0</v>
      </c>
      <c r="G131" s="90"/>
    </row>
    <row r="132">
      <c r="A132" s="92"/>
      <c r="B132" s="107" t="s">
        <v>259</v>
      </c>
      <c r="C132" s="112" t="s">
        <v>260</v>
      </c>
      <c r="D132" s="91">
        <v>3.0</v>
      </c>
      <c r="E132" s="82"/>
      <c r="F132" s="91">
        <v>3.0</v>
      </c>
      <c r="G132" s="82"/>
    </row>
    <row r="133">
      <c r="A133" s="103"/>
      <c r="B133" s="106" t="s">
        <v>261</v>
      </c>
      <c r="C133" s="113" t="s">
        <v>262</v>
      </c>
      <c r="D133" s="90">
        <v>2.0</v>
      </c>
      <c r="E133" s="77"/>
      <c r="F133" s="90">
        <v>5.0</v>
      </c>
      <c r="G133" s="77"/>
    </row>
    <row r="134">
      <c r="A134" s="92">
        <v>14.0</v>
      </c>
      <c r="B134" s="93" t="str">
        <f>'Sprint Goals'!B15</f>
        <v>Final Project Release</v>
      </c>
      <c r="D134" s="91"/>
      <c r="E134" s="82"/>
      <c r="F134" s="82"/>
      <c r="G134" s="82"/>
    </row>
    <row r="135">
      <c r="A135" s="103"/>
      <c r="B135" s="106" t="s">
        <v>253</v>
      </c>
      <c r="C135" s="90" t="s">
        <v>254</v>
      </c>
      <c r="D135" s="90">
        <v>5.0</v>
      </c>
      <c r="E135" s="77"/>
      <c r="F135" s="90">
        <v>5.0</v>
      </c>
      <c r="G135" s="77"/>
    </row>
    <row r="136">
      <c r="A136" s="92"/>
      <c r="B136" s="107" t="s">
        <v>263</v>
      </c>
      <c r="C136" s="91" t="s">
        <v>264</v>
      </c>
      <c r="D136" s="91">
        <v>3.0</v>
      </c>
      <c r="E136" s="82"/>
      <c r="F136" s="91">
        <v>3.0</v>
      </c>
      <c r="G136" s="82"/>
    </row>
    <row r="137">
      <c r="A137" s="77"/>
      <c r="B137" s="106" t="s">
        <v>265</v>
      </c>
      <c r="C137" s="90" t="s">
        <v>266</v>
      </c>
      <c r="D137" s="90">
        <v>2.0</v>
      </c>
      <c r="E137" s="77"/>
      <c r="F137" s="90">
        <v>2.0</v>
      </c>
      <c r="G137" s="77"/>
    </row>
    <row r="138">
      <c r="A138" s="82"/>
      <c r="B138" s="107" t="s">
        <v>267</v>
      </c>
      <c r="C138" s="91" t="s">
        <v>268</v>
      </c>
      <c r="D138" s="91">
        <v>2.0</v>
      </c>
      <c r="E138" s="82"/>
      <c r="F138" s="91">
        <v>2.0</v>
      </c>
      <c r="G138" s="82"/>
    </row>
    <row r="139">
      <c r="A139" s="77"/>
      <c r="B139" s="106" t="s">
        <v>269</v>
      </c>
      <c r="C139" s="90" t="s">
        <v>270</v>
      </c>
      <c r="D139" s="102">
        <v>3.0</v>
      </c>
      <c r="E139" s="77"/>
      <c r="F139" s="90">
        <v>1.0</v>
      </c>
      <c r="G139" s="77"/>
    </row>
    <row r="140">
      <c r="A140" s="82"/>
      <c r="B140" s="107" t="s">
        <v>271</v>
      </c>
      <c r="C140" s="91" t="s">
        <v>272</v>
      </c>
      <c r="D140" s="91">
        <v>3.0</v>
      </c>
      <c r="E140" s="82"/>
      <c r="F140" s="91">
        <v>3.0</v>
      </c>
      <c r="G140" s="82"/>
    </row>
    <row r="141">
      <c r="A141" s="77"/>
      <c r="B141" s="77"/>
      <c r="C141" s="90"/>
      <c r="D141" s="90"/>
      <c r="E141" s="77"/>
      <c r="F141" s="77"/>
      <c r="G141" s="77"/>
    </row>
    <row r="142">
      <c r="A142" s="82"/>
      <c r="B142" s="82"/>
      <c r="C142" s="91"/>
      <c r="D142" s="91"/>
      <c r="E142" s="82"/>
      <c r="F142" s="82"/>
      <c r="G142" s="82"/>
    </row>
    <row r="143">
      <c r="A143" s="77"/>
      <c r="B143" s="77"/>
      <c r="C143" s="90"/>
      <c r="D143" s="90"/>
      <c r="E143" s="77"/>
      <c r="F143" s="77"/>
      <c r="G143" s="77"/>
    </row>
    <row r="144">
      <c r="A144" s="82"/>
      <c r="B144" s="82"/>
      <c r="C144" s="91"/>
      <c r="D144" s="91"/>
      <c r="E144" s="82"/>
      <c r="F144" s="82"/>
      <c r="G144" s="82"/>
    </row>
    <row r="145">
      <c r="A145" s="77"/>
      <c r="B145" s="77"/>
      <c r="C145" s="90"/>
      <c r="D145" s="90"/>
      <c r="E145" s="77"/>
      <c r="F145" s="77"/>
      <c r="G145" s="77"/>
    </row>
    <row r="146">
      <c r="A146" s="82"/>
      <c r="B146" s="82"/>
      <c r="C146" s="91"/>
      <c r="D146" s="91"/>
      <c r="E146" s="82"/>
      <c r="F146" s="82"/>
      <c r="G146" s="82"/>
    </row>
    <row r="147">
      <c r="A147" s="77"/>
      <c r="B147" s="77"/>
      <c r="C147" s="90"/>
      <c r="D147" s="90"/>
      <c r="E147" s="77"/>
      <c r="F147" s="77"/>
      <c r="G147" s="77"/>
    </row>
    <row r="148">
      <c r="A148" s="82"/>
      <c r="B148" s="82"/>
      <c r="C148" s="91"/>
      <c r="D148" s="91"/>
      <c r="E148" s="82"/>
      <c r="F148" s="82"/>
      <c r="G148" s="82"/>
    </row>
    <row r="149">
      <c r="A149" s="77"/>
      <c r="B149" s="77"/>
      <c r="C149" s="90"/>
      <c r="D149" s="90"/>
      <c r="E149" s="77"/>
      <c r="F149" s="77"/>
      <c r="G149" s="77"/>
    </row>
  </sheetData>
  <mergeCells count="2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91:C91"/>
    <mergeCell ref="B98:C98"/>
    <mergeCell ref="B104:C104"/>
    <mergeCell ref="B108:C108"/>
    <mergeCell ref="B117:C117"/>
    <mergeCell ref="B125:C125"/>
    <mergeCell ref="B134:C134"/>
    <mergeCell ref="B23:C23"/>
    <mergeCell ref="B27:C27"/>
    <mergeCell ref="B30:C30"/>
    <mergeCell ref="B38:C38"/>
    <mergeCell ref="B59:C59"/>
    <mergeCell ref="B74:C74"/>
    <mergeCell ref="B85:C85"/>
  </mergeCells>
  <hyperlinks>
    <hyperlink r:id="rId1" ref="B105"/>
    <hyperlink r:id="rId2" ref="B106"/>
    <hyperlink r:id="rId3" ref="B107"/>
    <hyperlink r:id="rId4" ref="B109"/>
    <hyperlink r:id="rId5" ref="B110"/>
    <hyperlink r:id="rId6" ref="B111"/>
    <hyperlink r:id="rId7" ref="B112"/>
    <hyperlink r:id="rId8" ref="B113"/>
    <hyperlink r:id="rId9" ref="B114"/>
    <hyperlink r:id="rId10" ref="B115"/>
    <hyperlink r:id="rId11" ref="B116"/>
    <hyperlink r:id="rId12" ref="B118"/>
    <hyperlink r:id="rId13" ref="B119"/>
    <hyperlink r:id="rId14" ref="B120"/>
    <hyperlink r:id="rId15" ref="B121"/>
    <hyperlink r:id="rId16" ref="B122"/>
    <hyperlink r:id="rId17" ref="B123"/>
    <hyperlink r:id="rId18" ref="B124"/>
    <hyperlink r:id="rId19" ref="B126"/>
    <hyperlink r:id="rId20" ref="B127"/>
    <hyperlink r:id="rId21" ref="B128"/>
    <hyperlink r:id="rId22" ref="B129"/>
    <hyperlink r:id="rId23" ref="B130"/>
    <hyperlink r:id="rId24" ref="B131"/>
    <hyperlink r:id="rId25" ref="B132"/>
    <hyperlink r:id="rId26" ref="B133"/>
    <hyperlink r:id="rId27" ref="B135"/>
    <hyperlink r:id="rId28" ref="B136"/>
    <hyperlink r:id="rId29" ref="B137"/>
    <hyperlink r:id="rId30" ref="B138"/>
    <hyperlink r:id="rId31" ref="B139"/>
    <hyperlink r:id="rId32" ref="B140"/>
  </hyperlinks>
  <printOptions gridLines="1" horizontalCentered="1"/>
  <pageMargins bottom="0.75" footer="0.0" header="0.0" left="0.7" right="0.7" top="0.75"/>
  <pageSetup fitToHeight="0" paperSize="9" cellComments="atEnd" orientation="landscape" pageOrder="overThenDown"/>
  <drawing r:id="rId3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2.75"/>
  <cols>
    <col customWidth="1" min="1" max="1" width="15.5"/>
  </cols>
  <sheetData>
    <row r="1">
      <c r="A1" s="9" t="s">
        <v>216</v>
      </c>
    </row>
    <row r="2">
      <c r="A2">
        <f>'Final Project Release plan'!D5</f>
        <v>215</v>
      </c>
      <c r="B2">
        <f>'Velocity Chart'!B2</f>
        <v>13</v>
      </c>
    </row>
    <row r="3">
      <c r="A3">
        <f t="shared" ref="A3:A15" si="1">A2-B2</f>
        <v>202</v>
      </c>
      <c r="B3">
        <f>'Velocity Chart'!B3</f>
        <v>14.5</v>
      </c>
    </row>
    <row r="4">
      <c r="A4">
        <f t="shared" si="1"/>
        <v>187.5</v>
      </c>
      <c r="B4">
        <f>'Velocity Chart'!B4</f>
        <v>16.33333333</v>
      </c>
    </row>
    <row r="5">
      <c r="A5">
        <f t="shared" si="1"/>
        <v>171.1666667</v>
      </c>
      <c r="B5">
        <f>'Velocity Chart'!B5</f>
        <v>17.25</v>
      </c>
    </row>
    <row r="6">
      <c r="A6">
        <f t="shared" si="1"/>
        <v>153.9166667</v>
      </c>
      <c r="B6">
        <f>'Velocity Chart'!B6</f>
        <v>17.8</v>
      </c>
    </row>
    <row r="7">
      <c r="A7">
        <f t="shared" si="1"/>
        <v>136.1166667</v>
      </c>
      <c r="B7">
        <f>'Velocity Chart'!B7</f>
        <v>17.5</v>
      </c>
    </row>
    <row r="8">
      <c r="A8">
        <f t="shared" si="1"/>
        <v>118.6166667</v>
      </c>
      <c r="B8">
        <f>'Velocity Chart'!B8</f>
        <v>15.57142857</v>
      </c>
    </row>
    <row r="9">
      <c r="A9">
        <f t="shared" si="1"/>
        <v>103.0452381</v>
      </c>
      <c r="B9">
        <f>'Velocity Chart'!B9</f>
        <v>16.875</v>
      </c>
    </row>
    <row r="10">
      <c r="A10">
        <f t="shared" si="1"/>
        <v>86.1702381</v>
      </c>
      <c r="B10">
        <f>'Velocity Chart'!B10</f>
        <v>16.66666667</v>
      </c>
    </row>
    <row r="11">
      <c r="A11">
        <f t="shared" si="1"/>
        <v>69.50357143</v>
      </c>
      <c r="B11">
        <f>'Velocity Chart'!B11</f>
        <v>16</v>
      </c>
    </row>
    <row r="12">
      <c r="A12">
        <f t="shared" si="1"/>
        <v>53.50357143</v>
      </c>
      <c r="B12">
        <f>'Velocity Chart'!B12</f>
        <v>16.36363636</v>
      </c>
    </row>
    <row r="13">
      <c r="A13">
        <f t="shared" si="1"/>
        <v>37.13993506</v>
      </c>
      <c r="B13">
        <f>'Velocity Chart'!B13</f>
        <v>16.66666667</v>
      </c>
    </row>
    <row r="14">
      <c r="A14">
        <f t="shared" si="1"/>
        <v>20.4732684</v>
      </c>
      <c r="B14">
        <f>'Velocity Chart'!B14</f>
        <v>16.61538462</v>
      </c>
    </row>
    <row r="15">
      <c r="A15">
        <f t="shared" si="1"/>
        <v>3.857883783</v>
      </c>
      <c r="B15">
        <f>'Velocity Chart'!B15</f>
        <v>16.61538462</v>
      </c>
    </row>
  </sheetData>
  <printOptions gridLines="1" horizontalCentered="1"/>
  <pageMargins bottom="0.75" footer="0.0" header="0.0" left="0.7" right="0.7" top="0.75"/>
  <pageSetup fitToHeight="0" paperSize="9" cellComments="atEnd" orientation="landscape"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5.13"/>
    <col customWidth="1" min="2" max="2" width="50.5"/>
    <col customWidth="1" min="3" max="3" width="59.5"/>
    <col customWidth="1" min="4" max="4" width="49.25"/>
  </cols>
  <sheetData>
    <row r="1">
      <c r="A1" s="114" t="s">
        <v>60</v>
      </c>
      <c r="B1" s="49" t="s">
        <v>273</v>
      </c>
      <c r="C1" s="49" t="s">
        <v>274</v>
      </c>
      <c r="D1" s="115" t="s">
        <v>275</v>
      </c>
    </row>
    <row r="2">
      <c r="A2" s="3"/>
      <c r="B2" s="2" t="s">
        <v>276</v>
      </c>
      <c r="C2" s="2" t="s">
        <v>277</v>
      </c>
      <c r="D2" s="2" t="s">
        <v>278</v>
      </c>
    </row>
    <row r="3">
      <c r="A3" s="3"/>
      <c r="B3" s="2" t="s">
        <v>279</v>
      </c>
      <c r="C3" s="2" t="s">
        <v>280</v>
      </c>
      <c r="D3" s="2" t="s">
        <v>281</v>
      </c>
    </row>
    <row r="4">
      <c r="A4" s="3"/>
      <c r="B4" s="2" t="s">
        <v>282</v>
      </c>
      <c r="C4" s="2" t="s">
        <v>283</v>
      </c>
      <c r="D4" s="2" t="s">
        <v>284</v>
      </c>
    </row>
    <row r="5">
      <c r="A5" s="3"/>
      <c r="B5" s="2" t="s">
        <v>285</v>
      </c>
      <c r="C5" s="2" t="s">
        <v>286</v>
      </c>
      <c r="D5" s="2" t="s">
        <v>287</v>
      </c>
    </row>
    <row r="6">
      <c r="A6" s="3"/>
      <c r="B6" s="2" t="s">
        <v>288</v>
      </c>
      <c r="C6" s="2" t="s">
        <v>289</v>
      </c>
      <c r="D6" s="2" t="s">
        <v>290</v>
      </c>
    </row>
    <row r="7">
      <c r="A7" s="3"/>
      <c r="B7" s="2" t="s">
        <v>291</v>
      </c>
      <c r="C7" s="3"/>
      <c r="D7" s="3"/>
    </row>
    <row r="8">
      <c r="A8" s="3"/>
      <c r="B8" s="2"/>
      <c r="C8" s="3"/>
      <c r="D8" s="3"/>
    </row>
    <row r="9">
      <c r="A9" s="3"/>
      <c r="B9" s="2"/>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4" t="s">
        <v>292</v>
      </c>
      <c r="B1" s="4" t="s">
        <v>293</v>
      </c>
    </row>
    <row r="2">
      <c r="A2" s="3"/>
      <c r="B2" s="3"/>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88"/>
    <col customWidth="1" min="2" max="2" width="8.25"/>
    <col customWidth="1" min="3" max="3" width="23.13"/>
    <col customWidth="1" min="4" max="4" width="9.63"/>
    <col customWidth="1" min="5" max="5" width="15.75"/>
    <col customWidth="1" min="6" max="6" width="48.5"/>
  </cols>
  <sheetData>
    <row r="1">
      <c r="A1" s="11" t="s">
        <v>60</v>
      </c>
      <c r="B1" s="4" t="s">
        <v>294</v>
      </c>
      <c r="C1" s="4" t="s">
        <v>295</v>
      </c>
      <c r="D1" s="4" t="s">
        <v>296</v>
      </c>
      <c r="E1" s="4" t="s">
        <v>297</v>
      </c>
      <c r="F1" s="4" t="s">
        <v>67</v>
      </c>
    </row>
    <row r="2">
      <c r="A2" s="2">
        <v>1.0</v>
      </c>
      <c r="B2" s="2" t="s">
        <v>298</v>
      </c>
      <c r="C2" s="2" t="s">
        <v>299</v>
      </c>
      <c r="D2" s="2" t="s">
        <v>300</v>
      </c>
      <c r="E2" s="2" t="s">
        <v>301</v>
      </c>
      <c r="F2" s="2" t="s">
        <v>302</v>
      </c>
    </row>
    <row r="3">
      <c r="A3" s="2">
        <f t="shared" ref="A3:A48" si="1">A2+1</f>
        <v>2</v>
      </c>
      <c r="B3" s="2" t="s">
        <v>298</v>
      </c>
      <c r="C3" s="2" t="s">
        <v>303</v>
      </c>
      <c r="D3" s="2" t="s">
        <v>304</v>
      </c>
      <c r="E3" s="2" t="s">
        <v>301</v>
      </c>
      <c r="F3" s="2" t="s">
        <v>305</v>
      </c>
    </row>
    <row r="4">
      <c r="A4" s="2">
        <f t="shared" si="1"/>
        <v>3</v>
      </c>
      <c r="B4" s="2" t="s">
        <v>298</v>
      </c>
      <c r="C4" s="2" t="s">
        <v>306</v>
      </c>
      <c r="D4" s="2" t="s">
        <v>307</v>
      </c>
      <c r="E4" s="2" t="s">
        <v>301</v>
      </c>
      <c r="F4" s="2" t="s">
        <v>308</v>
      </c>
    </row>
    <row r="5">
      <c r="A5" s="2">
        <f t="shared" si="1"/>
        <v>4</v>
      </c>
      <c r="B5" s="2" t="s">
        <v>298</v>
      </c>
      <c r="C5" s="2" t="s">
        <v>309</v>
      </c>
      <c r="D5" s="2" t="s">
        <v>310</v>
      </c>
      <c r="E5" s="2" t="s">
        <v>311</v>
      </c>
      <c r="F5" s="2" t="s">
        <v>312</v>
      </c>
    </row>
    <row r="6">
      <c r="A6" s="2">
        <f t="shared" si="1"/>
        <v>5</v>
      </c>
      <c r="B6" s="2" t="s">
        <v>298</v>
      </c>
      <c r="C6" s="2" t="s">
        <v>313</v>
      </c>
      <c r="D6" s="2" t="s">
        <v>314</v>
      </c>
      <c r="E6" s="2" t="s">
        <v>315</v>
      </c>
      <c r="F6" s="2" t="s">
        <v>316</v>
      </c>
    </row>
    <row r="7">
      <c r="A7" s="2">
        <f t="shared" si="1"/>
        <v>6</v>
      </c>
      <c r="B7" s="2" t="s">
        <v>298</v>
      </c>
      <c r="C7" s="2" t="s">
        <v>317</v>
      </c>
      <c r="D7" s="2" t="s">
        <v>318</v>
      </c>
      <c r="E7" s="2" t="s">
        <v>301</v>
      </c>
      <c r="F7" s="2" t="s">
        <v>319</v>
      </c>
    </row>
    <row r="8">
      <c r="A8" s="2">
        <f t="shared" si="1"/>
        <v>7</v>
      </c>
      <c r="B8" s="2" t="s">
        <v>298</v>
      </c>
      <c r="C8" s="2" t="s">
        <v>320</v>
      </c>
      <c r="D8" s="2" t="s">
        <v>321</v>
      </c>
      <c r="E8" s="2" t="s">
        <v>301</v>
      </c>
      <c r="F8" s="2" t="s">
        <v>322</v>
      </c>
    </row>
    <row r="9">
      <c r="A9" s="2">
        <f t="shared" si="1"/>
        <v>8</v>
      </c>
      <c r="B9" s="2" t="s">
        <v>298</v>
      </c>
      <c r="C9" s="2" t="s">
        <v>323</v>
      </c>
      <c r="D9" s="2" t="s">
        <v>324</v>
      </c>
      <c r="E9" s="2" t="s">
        <v>301</v>
      </c>
      <c r="F9" s="2" t="s">
        <v>325</v>
      </c>
    </row>
    <row r="10">
      <c r="A10" s="2">
        <f t="shared" si="1"/>
        <v>9</v>
      </c>
      <c r="B10" s="2" t="s">
        <v>298</v>
      </c>
      <c r="C10" s="2" t="s">
        <v>326</v>
      </c>
      <c r="D10" s="2" t="s">
        <v>327</v>
      </c>
      <c r="E10" s="2" t="s">
        <v>301</v>
      </c>
      <c r="F10" s="2" t="s">
        <v>328</v>
      </c>
    </row>
    <row r="11">
      <c r="A11" s="2">
        <f t="shared" si="1"/>
        <v>10</v>
      </c>
      <c r="B11" s="2" t="s">
        <v>298</v>
      </c>
      <c r="C11" s="2" t="s">
        <v>329</v>
      </c>
      <c r="D11" s="2" t="s">
        <v>330</v>
      </c>
      <c r="E11" s="2" t="s">
        <v>301</v>
      </c>
      <c r="F11" s="2" t="s">
        <v>331</v>
      </c>
    </row>
    <row r="12">
      <c r="A12" s="2">
        <f t="shared" si="1"/>
        <v>11</v>
      </c>
      <c r="B12" s="2" t="s">
        <v>298</v>
      </c>
      <c r="C12" s="2" t="s">
        <v>332</v>
      </c>
      <c r="D12" s="2" t="s">
        <v>333</v>
      </c>
      <c r="E12" s="2" t="s">
        <v>301</v>
      </c>
      <c r="F12" s="2" t="s">
        <v>334</v>
      </c>
    </row>
    <row r="13">
      <c r="A13" s="2">
        <f t="shared" si="1"/>
        <v>12</v>
      </c>
      <c r="B13" s="2" t="s">
        <v>298</v>
      </c>
      <c r="C13" s="2" t="s">
        <v>335</v>
      </c>
      <c r="D13" s="2" t="s">
        <v>336</v>
      </c>
      <c r="E13" s="2" t="s">
        <v>301</v>
      </c>
      <c r="F13" s="2" t="s">
        <v>337</v>
      </c>
    </row>
    <row r="14">
      <c r="A14" s="2">
        <f t="shared" si="1"/>
        <v>13</v>
      </c>
      <c r="B14" s="2" t="s">
        <v>298</v>
      </c>
      <c r="C14" s="2" t="s">
        <v>338</v>
      </c>
      <c r="D14" s="2" t="s">
        <v>339</v>
      </c>
      <c r="E14" s="2" t="s">
        <v>301</v>
      </c>
      <c r="F14" s="2" t="s">
        <v>340</v>
      </c>
    </row>
    <row r="15">
      <c r="A15" s="2">
        <f t="shared" si="1"/>
        <v>14</v>
      </c>
      <c r="B15" s="2" t="s">
        <v>298</v>
      </c>
      <c r="C15" s="2" t="s">
        <v>341</v>
      </c>
      <c r="D15" s="2" t="s">
        <v>342</v>
      </c>
      <c r="E15" s="2" t="s">
        <v>315</v>
      </c>
      <c r="F15" s="2" t="s">
        <v>343</v>
      </c>
    </row>
    <row r="16">
      <c r="A16" s="2">
        <f t="shared" si="1"/>
        <v>15</v>
      </c>
      <c r="B16" s="2" t="s">
        <v>298</v>
      </c>
      <c r="C16" s="2" t="s">
        <v>344</v>
      </c>
      <c r="D16" s="2" t="s">
        <v>345</v>
      </c>
      <c r="E16" s="2" t="s">
        <v>311</v>
      </c>
      <c r="F16" s="2" t="s">
        <v>346</v>
      </c>
    </row>
    <row r="17">
      <c r="A17" s="2">
        <f t="shared" si="1"/>
        <v>16</v>
      </c>
      <c r="B17" s="2" t="s">
        <v>298</v>
      </c>
      <c r="C17" s="6" t="s">
        <v>347</v>
      </c>
      <c r="D17" s="2" t="s">
        <v>348</v>
      </c>
      <c r="E17" s="2" t="s">
        <v>311</v>
      </c>
      <c r="F17" s="2" t="s">
        <v>349</v>
      </c>
    </row>
    <row r="18">
      <c r="A18" s="2">
        <f t="shared" si="1"/>
        <v>17</v>
      </c>
      <c r="B18" s="2" t="s">
        <v>298</v>
      </c>
      <c r="C18" s="2" t="s">
        <v>350</v>
      </c>
      <c r="D18" s="2" t="s">
        <v>351</v>
      </c>
      <c r="E18" s="2" t="s">
        <v>311</v>
      </c>
      <c r="F18" s="2" t="s">
        <v>352</v>
      </c>
    </row>
    <row r="19">
      <c r="A19" s="2">
        <f t="shared" si="1"/>
        <v>18</v>
      </c>
      <c r="B19" s="9" t="s">
        <v>298</v>
      </c>
      <c r="C19" s="9" t="s">
        <v>353</v>
      </c>
      <c r="D19" s="9" t="s">
        <v>354</v>
      </c>
      <c r="E19" s="9" t="s">
        <v>311</v>
      </c>
      <c r="F19" s="2" t="s">
        <v>355</v>
      </c>
    </row>
    <row r="20">
      <c r="A20" s="2">
        <f t="shared" si="1"/>
        <v>19</v>
      </c>
      <c r="B20" s="2" t="s">
        <v>298</v>
      </c>
      <c r="C20" s="2" t="s">
        <v>356</v>
      </c>
      <c r="D20" s="2" t="s">
        <v>357</v>
      </c>
      <c r="E20" s="2" t="s">
        <v>311</v>
      </c>
      <c r="F20" s="2" t="s">
        <v>358</v>
      </c>
    </row>
    <row r="21">
      <c r="A21" s="2">
        <f t="shared" si="1"/>
        <v>20</v>
      </c>
      <c r="B21" s="2" t="s">
        <v>359</v>
      </c>
      <c r="C21" s="2" t="s">
        <v>360</v>
      </c>
      <c r="D21" s="2" t="s">
        <v>361</v>
      </c>
      <c r="E21" s="2" t="s">
        <v>311</v>
      </c>
      <c r="F21" s="2" t="s">
        <v>362</v>
      </c>
    </row>
    <row r="22">
      <c r="A22" s="2">
        <f t="shared" si="1"/>
        <v>21</v>
      </c>
      <c r="B22" s="2" t="s">
        <v>359</v>
      </c>
      <c r="C22" s="2" t="s">
        <v>363</v>
      </c>
      <c r="D22" s="2" t="s">
        <v>364</v>
      </c>
      <c r="E22" s="2" t="s">
        <v>365</v>
      </c>
      <c r="F22" s="2" t="s">
        <v>366</v>
      </c>
    </row>
    <row r="23">
      <c r="A23" s="2">
        <f t="shared" si="1"/>
        <v>22</v>
      </c>
      <c r="B23" s="2" t="s">
        <v>359</v>
      </c>
      <c r="C23" s="2" t="s">
        <v>367</v>
      </c>
      <c r="D23" s="2" t="s">
        <v>368</v>
      </c>
      <c r="E23" s="2" t="s">
        <v>369</v>
      </c>
      <c r="F23" s="2" t="s">
        <v>370</v>
      </c>
    </row>
    <row r="24">
      <c r="A24" s="2">
        <f t="shared" si="1"/>
        <v>23</v>
      </c>
      <c r="B24" s="2" t="s">
        <v>359</v>
      </c>
      <c r="C24" s="2" t="s">
        <v>371</v>
      </c>
      <c r="D24" s="2" t="s">
        <v>372</v>
      </c>
      <c r="E24" s="2" t="s">
        <v>315</v>
      </c>
      <c r="F24" s="2" t="s">
        <v>373</v>
      </c>
    </row>
    <row r="25">
      <c r="A25" s="2">
        <f t="shared" si="1"/>
        <v>24</v>
      </c>
      <c r="B25" s="2" t="s">
        <v>359</v>
      </c>
      <c r="C25" s="2" t="s">
        <v>374</v>
      </c>
      <c r="D25" s="2" t="s">
        <v>375</v>
      </c>
      <c r="E25" s="2" t="s">
        <v>315</v>
      </c>
      <c r="F25" s="2" t="s">
        <v>376</v>
      </c>
    </row>
    <row r="26">
      <c r="A26" s="2">
        <f t="shared" si="1"/>
        <v>25</v>
      </c>
      <c r="B26" s="2" t="s">
        <v>359</v>
      </c>
      <c r="C26" s="2" t="s">
        <v>377</v>
      </c>
      <c r="D26" s="2" t="s">
        <v>378</v>
      </c>
      <c r="E26" s="2" t="s">
        <v>315</v>
      </c>
      <c r="F26" s="2" t="s">
        <v>379</v>
      </c>
    </row>
    <row r="27">
      <c r="A27" s="2">
        <f t="shared" si="1"/>
        <v>26</v>
      </c>
      <c r="B27" s="2" t="s">
        <v>359</v>
      </c>
      <c r="C27" s="2" t="s">
        <v>380</v>
      </c>
      <c r="D27" s="2" t="s">
        <v>381</v>
      </c>
      <c r="E27" s="2" t="s">
        <v>315</v>
      </c>
      <c r="F27" s="2" t="s">
        <v>382</v>
      </c>
    </row>
    <row r="28">
      <c r="A28" s="2">
        <f t="shared" si="1"/>
        <v>27</v>
      </c>
      <c r="B28" s="2" t="s">
        <v>359</v>
      </c>
      <c r="C28" s="2" t="s">
        <v>383</v>
      </c>
      <c r="D28" s="2" t="s">
        <v>384</v>
      </c>
      <c r="E28" s="2" t="s">
        <v>315</v>
      </c>
      <c r="F28" s="2" t="s">
        <v>385</v>
      </c>
    </row>
    <row r="29">
      <c r="A29" s="2">
        <f t="shared" si="1"/>
        <v>28</v>
      </c>
      <c r="B29" s="2" t="s">
        <v>359</v>
      </c>
      <c r="C29" s="2" t="s">
        <v>386</v>
      </c>
      <c r="D29" s="2" t="s">
        <v>372</v>
      </c>
      <c r="E29" s="2" t="s">
        <v>315</v>
      </c>
      <c r="F29" s="2" t="s">
        <v>387</v>
      </c>
    </row>
    <row r="30">
      <c r="A30" s="2">
        <f t="shared" si="1"/>
        <v>29</v>
      </c>
      <c r="B30" s="2" t="s">
        <v>359</v>
      </c>
      <c r="C30" s="2" t="s">
        <v>388</v>
      </c>
      <c r="D30" s="2" t="s">
        <v>389</v>
      </c>
      <c r="E30" s="2" t="s">
        <v>315</v>
      </c>
      <c r="F30" s="2" t="s">
        <v>390</v>
      </c>
    </row>
    <row r="31">
      <c r="A31" s="2">
        <f t="shared" si="1"/>
        <v>30</v>
      </c>
      <c r="B31" s="2" t="s">
        <v>359</v>
      </c>
      <c r="C31" s="2" t="s">
        <v>391</v>
      </c>
      <c r="D31" s="2" t="s">
        <v>392</v>
      </c>
      <c r="E31" s="2" t="s">
        <v>315</v>
      </c>
      <c r="F31" s="2" t="s">
        <v>393</v>
      </c>
    </row>
    <row r="32">
      <c r="A32" s="2">
        <f t="shared" si="1"/>
        <v>31</v>
      </c>
      <c r="B32" s="2" t="s">
        <v>359</v>
      </c>
      <c r="C32" s="2" t="s">
        <v>394</v>
      </c>
      <c r="D32" s="2" t="s">
        <v>395</v>
      </c>
      <c r="E32" s="2" t="s">
        <v>315</v>
      </c>
      <c r="F32" s="2" t="s">
        <v>396</v>
      </c>
    </row>
    <row r="33">
      <c r="A33" s="2">
        <f t="shared" si="1"/>
        <v>32</v>
      </c>
      <c r="B33" s="2" t="s">
        <v>359</v>
      </c>
      <c r="C33" s="2" t="s">
        <v>397</v>
      </c>
      <c r="D33" s="2" t="s">
        <v>398</v>
      </c>
      <c r="E33" s="2" t="s">
        <v>315</v>
      </c>
      <c r="F33" s="2" t="s">
        <v>399</v>
      </c>
    </row>
    <row r="34">
      <c r="A34" s="2">
        <f t="shared" si="1"/>
        <v>33</v>
      </c>
      <c r="B34" s="2" t="s">
        <v>359</v>
      </c>
      <c r="C34" s="2" t="s">
        <v>400</v>
      </c>
      <c r="D34" s="2" t="s">
        <v>401</v>
      </c>
      <c r="E34" s="2" t="s">
        <v>315</v>
      </c>
      <c r="F34" s="2" t="s">
        <v>402</v>
      </c>
    </row>
    <row r="35">
      <c r="A35" s="2">
        <f t="shared" si="1"/>
        <v>34</v>
      </c>
      <c r="B35" s="2" t="s">
        <v>359</v>
      </c>
      <c r="C35" s="2" t="s">
        <v>403</v>
      </c>
      <c r="D35" s="45">
        <v>2.4</v>
      </c>
      <c r="E35" s="2" t="s">
        <v>315</v>
      </c>
      <c r="F35" s="2" t="s">
        <v>404</v>
      </c>
    </row>
    <row r="36">
      <c r="A36" s="2">
        <f t="shared" si="1"/>
        <v>35</v>
      </c>
      <c r="B36" s="2" t="s">
        <v>359</v>
      </c>
      <c r="C36" s="2" t="s">
        <v>405</v>
      </c>
      <c r="D36" s="2" t="s">
        <v>406</v>
      </c>
      <c r="E36" s="2" t="s">
        <v>311</v>
      </c>
      <c r="F36" s="2" t="s">
        <v>407</v>
      </c>
    </row>
    <row r="37">
      <c r="A37" s="2">
        <f t="shared" si="1"/>
        <v>36</v>
      </c>
      <c r="B37" s="2" t="s">
        <v>359</v>
      </c>
      <c r="C37" s="2" t="s">
        <v>408</v>
      </c>
      <c r="D37" s="2" t="s">
        <v>409</v>
      </c>
      <c r="E37" s="2" t="s">
        <v>315</v>
      </c>
      <c r="F37" s="2" t="s">
        <v>410</v>
      </c>
    </row>
    <row r="38">
      <c r="A38" s="2">
        <f t="shared" si="1"/>
        <v>37</v>
      </c>
      <c r="B38" s="2" t="s">
        <v>359</v>
      </c>
      <c r="C38" s="2" t="s">
        <v>411</v>
      </c>
      <c r="D38" s="2" t="s">
        <v>412</v>
      </c>
      <c r="E38" s="2" t="s">
        <v>311</v>
      </c>
      <c r="F38" s="2" t="s">
        <v>413</v>
      </c>
    </row>
    <row r="39">
      <c r="A39" s="2">
        <f t="shared" si="1"/>
        <v>38</v>
      </c>
      <c r="B39" s="2" t="s">
        <v>359</v>
      </c>
      <c r="C39" s="2" t="s">
        <v>414</v>
      </c>
      <c r="D39" s="2" t="s">
        <v>415</v>
      </c>
      <c r="E39" s="2" t="s">
        <v>416</v>
      </c>
      <c r="F39" s="2" t="s">
        <v>417</v>
      </c>
    </row>
    <row r="40">
      <c r="A40" s="2">
        <f t="shared" si="1"/>
        <v>39</v>
      </c>
      <c r="B40" s="2" t="s">
        <v>359</v>
      </c>
      <c r="C40" s="2" t="s">
        <v>418</v>
      </c>
      <c r="D40" s="2" t="s">
        <v>419</v>
      </c>
      <c r="E40" s="2" t="s">
        <v>315</v>
      </c>
      <c r="F40" s="2" t="s">
        <v>420</v>
      </c>
    </row>
    <row r="41">
      <c r="A41" s="2">
        <f t="shared" si="1"/>
        <v>40</v>
      </c>
      <c r="B41" s="2" t="s">
        <v>359</v>
      </c>
      <c r="C41" s="2" t="s">
        <v>421</v>
      </c>
      <c r="D41" s="2" t="s">
        <v>422</v>
      </c>
      <c r="E41" s="2" t="s">
        <v>315</v>
      </c>
      <c r="F41" s="2" t="s">
        <v>423</v>
      </c>
    </row>
    <row r="42">
      <c r="A42" s="2">
        <f t="shared" si="1"/>
        <v>41</v>
      </c>
      <c r="B42" s="2" t="s">
        <v>359</v>
      </c>
      <c r="C42" s="2" t="s">
        <v>424</v>
      </c>
      <c r="D42" s="2" t="s">
        <v>425</v>
      </c>
      <c r="E42" s="2" t="s">
        <v>426</v>
      </c>
      <c r="F42" s="2" t="s">
        <v>427</v>
      </c>
    </row>
    <row r="43">
      <c r="A43" s="2">
        <f t="shared" si="1"/>
        <v>42</v>
      </c>
      <c r="B43" s="2" t="s">
        <v>359</v>
      </c>
      <c r="C43" s="2" t="s">
        <v>428</v>
      </c>
      <c r="D43" s="2" t="s">
        <v>429</v>
      </c>
      <c r="E43" s="2" t="s">
        <v>311</v>
      </c>
      <c r="F43" s="2" t="s">
        <v>430</v>
      </c>
    </row>
    <row r="44">
      <c r="A44" s="2">
        <f t="shared" si="1"/>
        <v>43</v>
      </c>
      <c r="B44" s="2" t="s">
        <v>359</v>
      </c>
      <c r="C44" s="2" t="s">
        <v>431</v>
      </c>
      <c r="D44" s="2" t="s">
        <v>432</v>
      </c>
      <c r="E44" s="2" t="s">
        <v>315</v>
      </c>
      <c r="F44" s="2" t="s">
        <v>433</v>
      </c>
    </row>
    <row r="45">
      <c r="A45" s="2">
        <f t="shared" si="1"/>
        <v>44</v>
      </c>
      <c r="B45" s="2" t="s">
        <v>359</v>
      </c>
      <c r="C45" s="2" t="s">
        <v>434</v>
      </c>
      <c r="D45" s="2" t="s">
        <v>435</v>
      </c>
      <c r="E45" s="2" t="s">
        <v>315</v>
      </c>
      <c r="F45" s="2" t="s">
        <v>436</v>
      </c>
    </row>
    <row r="46">
      <c r="A46" s="2">
        <f t="shared" si="1"/>
        <v>45</v>
      </c>
      <c r="B46" s="2" t="s">
        <v>359</v>
      </c>
      <c r="C46" s="2" t="s">
        <v>437</v>
      </c>
      <c r="D46" s="2" t="s">
        <v>438</v>
      </c>
      <c r="E46" s="2" t="s">
        <v>315</v>
      </c>
      <c r="F46" s="2" t="s">
        <v>439</v>
      </c>
    </row>
    <row r="47">
      <c r="A47" s="2">
        <f t="shared" si="1"/>
        <v>46</v>
      </c>
      <c r="B47" s="2" t="s">
        <v>359</v>
      </c>
      <c r="C47" s="2" t="s">
        <v>440</v>
      </c>
      <c r="D47" s="2" t="s">
        <v>361</v>
      </c>
      <c r="E47" s="2" t="s">
        <v>441</v>
      </c>
      <c r="F47" s="2" t="s">
        <v>442</v>
      </c>
    </row>
    <row r="48">
      <c r="A48" s="2">
        <f t="shared" si="1"/>
        <v>47</v>
      </c>
      <c r="B48" s="2" t="s">
        <v>359</v>
      </c>
      <c r="C48" s="2" t="s">
        <v>443</v>
      </c>
      <c r="D48" s="2" t="s">
        <v>361</v>
      </c>
      <c r="E48" s="2" t="s">
        <v>441</v>
      </c>
      <c r="F48" s="2" t="s">
        <v>444</v>
      </c>
    </row>
    <row r="49">
      <c r="A49" s="2">
        <v>48.0</v>
      </c>
      <c r="B49" s="2" t="s">
        <v>359</v>
      </c>
      <c r="C49" s="2" t="s">
        <v>445</v>
      </c>
      <c r="D49" s="2" t="s">
        <v>361</v>
      </c>
      <c r="E49" s="2" t="s">
        <v>311</v>
      </c>
      <c r="F49" s="2" t="s">
        <v>446</v>
      </c>
    </row>
    <row r="50">
      <c r="A50" s="2"/>
      <c r="B50" s="2"/>
      <c r="C50" s="2"/>
      <c r="D50" s="2"/>
      <c r="E50" s="2"/>
      <c r="F50" s="2"/>
    </row>
  </sheetData>
  <hyperlinks>
    <hyperlink r:id="rId1" ref="C17"/>
  </hyperlinks>
  <printOptions gridLines="1" horizontalCentered="1"/>
  <pageMargins bottom="0.75" footer="0.0" header="0.0" left="0.7" right="0.7" top="0.75"/>
  <pageSetup fitToHeight="0" paperSize="9" cellComments="atEnd" orientation="landscape" pageOrder="overThenDown"/>
  <drawing r:id="rId2"/>
  <tableParts count="1">
    <tablePart r:id="rId4"/>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25.13"/>
    <col customWidth="1" min="3" max="5" width="12.63"/>
  </cols>
  <sheetData>
    <row r="1">
      <c r="A1" s="116" t="str">
        <f>'Project Team'!A1</f>
        <v>Last Name</v>
      </c>
      <c r="B1" s="116" t="str">
        <f>'Project Team'!B1</f>
        <v>First Name</v>
      </c>
      <c r="C1" s="117" t="s">
        <v>447</v>
      </c>
      <c r="D1" s="118"/>
      <c r="E1" s="119"/>
      <c r="F1" s="120"/>
      <c r="G1" s="121"/>
      <c r="H1" s="121"/>
    </row>
    <row r="2">
      <c r="A2" s="122" t="str">
        <f>'Project Team'!A2</f>
        <v>Wysokinska</v>
      </c>
      <c r="B2" s="122" t="str">
        <f>'Project Team'!B2</f>
        <v>Xemena</v>
      </c>
      <c r="C2" s="123"/>
      <c r="D2" s="124"/>
      <c r="E2" s="125">
        <f>average(C2:C10)</f>
        <v>2</v>
      </c>
      <c r="F2" s="126" t="str">
        <f>if(stdev(C2:C5) &gt; 0,"NOK", "OK")</f>
        <v>OK</v>
      </c>
      <c r="G2" s="127"/>
      <c r="H2" s="127"/>
    </row>
    <row r="3">
      <c r="A3" s="128" t="str">
        <f>'Project Team'!A3</f>
        <v>Ostrizki</v>
      </c>
      <c r="B3" s="128" t="str">
        <f>'Project Team'!B3</f>
        <v>Jan</v>
      </c>
      <c r="C3" s="123"/>
      <c r="D3" s="129"/>
      <c r="G3" s="130"/>
      <c r="H3" s="130"/>
    </row>
    <row r="4">
      <c r="A4" s="122" t="str">
        <f>'Project Team'!A4</f>
        <v>Raju</v>
      </c>
      <c r="B4" s="122" t="str">
        <f>'Project Team'!B4</f>
        <v>Robin Jose </v>
      </c>
      <c r="C4" s="123">
        <v>2.0</v>
      </c>
      <c r="D4" s="131" t="s">
        <v>448</v>
      </c>
      <c r="G4" s="127"/>
      <c r="H4" s="127"/>
    </row>
    <row r="5">
      <c r="A5" s="128" t="str">
        <f>'Project Team'!A5</f>
        <v>Nogu</v>
      </c>
      <c r="B5" s="128" t="str">
        <f>'Project Team'!B5</f>
        <v>Ervin</v>
      </c>
      <c r="C5" s="123">
        <v>2.0</v>
      </c>
      <c r="D5" s="132"/>
      <c r="E5" s="132"/>
      <c r="F5" s="132"/>
      <c r="G5" s="130"/>
      <c r="H5" s="130"/>
    </row>
    <row r="6">
      <c r="A6" s="122" t="str">
        <f>'Project Team'!A6</f>
        <v>Krüger</v>
      </c>
      <c r="B6" s="122" t="str">
        <f>'Project Team'!B6</f>
        <v>Landolf</v>
      </c>
      <c r="C6" s="133">
        <v>2.0</v>
      </c>
      <c r="D6" s="134"/>
      <c r="E6" s="135">
        <v>0.0</v>
      </c>
      <c r="F6" s="136" t="s">
        <v>449</v>
      </c>
      <c r="G6" s="127"/>
      <c r="H6" s="127"/>
    </row>
    <row r="7">
      <c r="A7" s="128" t="str">
        <f>'Project Team'!A7</f>
        <v>Tröger</v>
      </c>
      <c r="B7" s="128" t="str">
        <f>'Project Team'!B7</f>
        <v>Nicolas</v>
      </c>
      <c r="C7" s="102">
        <v>2.0</v>
      </c>
      <c r="D7" s="132"/>
      <c r="E7" s="135">
        <v>1.0</v>
      </c>
      <c r="F7" s="136" t="s">
        <v>450</v>
      </c>
      <c r="G7" s="130"/>
      <c r="H7" s="130"/>
    </row>
    <row r="8">
      <c r="A8" s="122" t="str">
        <f t="shared" ref="A8:B8" si="1">#REF!</f>
        <v>#REF!</v>
      </c>
      <c r="B8" s="122" t="str">
        <f t="shared" si="1"/>
        <v>#REF!</v>
      </c>
      <c r="C8" s="137"/>
      <c r="D8" s="134"/>
      <c r="E8" s="135">
        <v>2.0</v>
      </c>
      <c r="F8" s="136" t="s">
        <v>451</v>
      </c>
      <c r="G8" s="127"/>
      <c r="H8" s="127"/>
    </row>
    <row r="9">
      <c r="A9" s="128" t="str">
        <f>'Project Team'!A8</f>
        <v>Killer</v>
      </c>
      <c r="B9" s="128" t="str">
        <f>'Project Team'!B8</f>
        <v>Hans</v>
      </c>
      <c r="C9" s="123">
        <v>2.0</v>
      </c>
      <c r="D9" s="132"/>
      <c r="E9" s="135">
        <v>3.0</v>
      </c>
      <c r="F9" s="136" t="s">
        <v>452</v>
      </c>
      <c r="G9" s="130"/>
      <c r="H9" s="130"/>
    </row>
    <row r="10">
      <c r="A10" s="122" t="str">
        <f>'Project Team'!A9</f>
        <v>Schulze</v>
      </c>
      <c r="B10" s="122" t="str">
        <f>'Project Team'!B9</f>
        <v>Levin</v>
      </c>
      <c r="C10" s="123"/>
      <c r="D10" s="134"/>
      <c r="E10" s="135">
        <v>5.0</v>
      </c>
      <c r="F10" s="136" t="s">
        <v>453</v>
      </c>
      <c r="G10" s="127"/>
      <c r="H10" s="127"/>
    </row>
    <row r="11">
      <c r="A11" s="128"/>
      <c r="B11" s="128"/>
      <c r="C11" s="138"/>
      <c r="D11" s="132"/>
      <c r="E11" s="135">
        <v>8.0</v>
      </c>
      <c r="F11" s="136" t="s">
        <v>454</v>
      </c>
      <c r="G11" s="130"/>
      <c r="H11" s="130"/>
    </row>
    <row r="12">
      <c r="A12" s="122"/>
      <c r="B12" s="122"/>
      <c r="C12" s="138"/>
      <c r="D12" s="134"/>
      <c r="E12" s="135">
        <v>13.0</v>
      </c>
      <c r="F12" s="136" t="s">
        <v>455</v>
      </c>
      <c r="G12" s="127"/>
      <c r="H12" s="127"/>
    </row>
    <row r="13">
      <c r="A13" s="128"/>
      <c r="B13" s="128"/>
      <c r="C13" s="132"/>
      <c r="D13" s="132"/>
      <c r="E13" s="132"/>
      <c r="F13" s="132"/>
      <c r="G13" s="130"/>
      <c r="H13" s="130"/>
    </row>
    <row r="14">
      <c r="A14" s="139" t="s">
        <v>456</v>
      </c>
      <c r="B14" s="140"/>
      <c r="C14" s="140"/>
      <c r="D14" s="140"/>
      <c r="E14" s="140"/>
      <c r="F14" s="140"/>
      <c r="G14" s="140"/>
      <c r="H14" s="140"/>
    </row>
    <row r="15">
      <c r="A15" s="58"/>
      <c r="B15" s="58"/>
      <c r="C15" s="58"/>
      <c r="D15" s="58"/>
      <c r="E15" s="58"/>
      <c r="F15" s="58"/>
      <c r="G15" s="58"/>
      <c r="H15" s="58"/>
    </row>
    <row r="16">
      <c r="A16" s="141" t="s">
        <v>457</v>
      </c>
      <c r="B16" s="142"/>
      <c r="C16" s="142"/>
      <c r="D16" s="142"/>
      <c r="E16" s="142"/>
      <c r="F16" s="142"/>
      <c r="G16" s="142"/>
      <c r="H16" s="142"/>
    </row>
    <row r="17">
      <c r="A17" s="143" t="s">
        <v>458</v>
      </c>
      <c r="B17" s="58"/>
      <c r="C17" s="58"/>
      <c r="D17" s="58"/>
      <c r="E17" s="58"/>
      <c r="F17" s="58"/>
      <c r="G17" s="58"/>
      <c r="H17" s="58"/>
    </row>
    <row r="18">
      <c r="A18" s="141" t="s">
        <v>459</v>
      </c>
      <c r="B18" s="142"/>
      <c r="C18" s="142"/>
      <c r="D18" s="142"/>
      <c r="E18" s="142"/>
      <c r="F18" s="142"/>
      <c r="G18" s="142"/>
      <c r="H18" s="142"/>
    </row>
    <row r="19">
      <c r="A19" s="58"/>
      <c r="B19" s="58"/>
      <c r="C19" s="58"/>
      <c r="D19" s="58"/>
      <c r="E19" s="58"/>
      <c r="F19" s="58"/>
      <c r="G19" s="58"/>
      <c r="H19" s="58"/>
    </row>
    <row r="20">
      <c r="A20" s="142"/>
      <c r="B20" s="142"/>
      <c r="C20" s="142"/>
      <c r="D20" s="142"/>
      <c r="E20" s="142"/>
      <c r="F20" s="142"/>
      <c r="G20" s="142"/>
      <c r="H20" s="142"/>
    </row>
  </sheetData>
  <mergeCells count="2">
    <mergeCell ref="E2:E4"/>
    <mergeCell ref="F2:F4"/>
  </mergeCells>
  <printOptions gridLines="1" horizontalCentered="1"/>
  <pageMargins bottom="0.75" footer="0.0" header="0.0" left="0.7" right="0.7" top="0.75"/>
  <pageSetup fitToHeight="0" paperSize="9" cellComments="atEnd" orientation="landscape" pageOrder="overThenDown"/>
  <drawing r:id="rId1"/>
</worksheet>
</file>